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EST\Combustión\TP-Concurso\"/>
    </mc:Choice>
  </mc:AlternateContent>
  <xr:revisionPtr revIDLastSave="0" documentId="13_ncr:1_{DE5A48FA-97B2-45C2-BB99-D7A7E1E472D9}" xr6:coauthVersionLast="47" xr6:coauthVersionMax="47" xr10:uidLastSave="{00000000-0000-0000-0000-000000000000}"/>
  <bookViews>
    <workbookView xWindow="-28920" yWindow="-120" windowWidth="29040" windowHeight="15840" xr2:uid="{16A24472-D4C6-44DA-8F11-2210BC19CC7F}"/>
  </bookViews>
  <sheets>
    <sheet name="RegistroEnsayo" sheetId="3" r:id="rId1"/>
    <sheet name="Gráfico IRAM-AITA 3.1" sheetId="4" r:id="rId2"/>
    <sheet name="Simbología IRAM-AITA 3.1" sheetId="1" r:id="rId3"/>
    <sheet name="Fórmulas IRAM-AITA 3.1" sheetId="2" r:id="rId4"/>
  </sheets>
  <definedNames>
    <definedName name="_xlnm.Print_Area" localSheetId="3">'Fórmulas IRAM-AITA 3.1'!$A$1:$D$12</definedName>
    <definedName name="_xlnm.Print_Area" localSheetId="0">RegistroEnsayo!$A$1:$AI$35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4" i="3" l="1" a="1"/>
  <c r="T34" i="3" s="1"/>
  <c r="G7" i="3"/>
  <c r="R6" i="3"/>
  <c r="J30" i="3" s="1"/>
  <c r="E30" i="3"/>
  <c r="L30" i="3" s="1"/>
  <c r="E29" i="3"/>
  <c r="L29" i="3" s="1"/>
  <c r="E28" i="3"/>
  <c r="L28" i="3" s="1"/>
  <c r="E27" i="3"/>
  <c r="L27" i="3"/>
  <c r="E26" i="3"/>
  <c r="L26" i="3"/>
  <c r="E25" i="3"/>
  <c r="L25" i="3"/>
  <c r="E24" i="3"/>
  <c r="L24" i="3" s="1"/>
  <c r="E23" i="3"/>
  <c r="L23" i="3"/>
  <c r="E22" i="3"/>
  <c r="L22" i="3"/>
  <c r="E21" i="3"/>
  <c r="L21" i="3"/>
  <c r="E20" i="3"/>
  <c r="L20" i="3" s="1"/>
  <c r="E19" i="3"/>
  <c r="L19" i="3" s="1"/>
  <c r="E18" i="3"/>
  <c r="L18" i="3" s="1"/>
  <c r="E17" i="3"/>
  <c r="L17" i="3" s="1"/>
  <c r="E16" i="3"/>
  <c r="L16" i="3"/>
  <c r="E15" i="3"/>
  <c r="L15" i="3"/>
  <c r="E14" i="3"/>
  <c r="L14" i="3"/>
  <c r="E13" i="3"/>
  <c r="L13" i="3" s="1"/>
  <c r="E12" i="3"/>
  <c r="L12" i="3" s="1"/>
  <c r="E11" i="3"/>
  <c r="L11" i="3" s="1"/>
  <c r="A12" i="3"/>
  <c r="A13" i="3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" i="2"/>
  <c r="A4" i="2"/>
  <c r="A5" i="2" s="1"/>
  <c r="A6" i="2" s="1"/>
  <c r="A7" i="2" s="1"/>
  <c r="A8" i="2" s="1"/>
  <c r="A9" i="2" s="1"/>
  <c r="A10" i="2" s="1"/>
  <c r="A11" i="2" s="1"/>
  <c r="A12" i="2" s="1"/>
  <c r="J20" i="3" l="1"/>
  <c r="K20" i="3" s="1"/>
  <c r="J23" i="3"/>
  <c r="K23" i="3" s="1"/>
  <c r="J29" i="3"/>
  <c r="K29" i="3" s="1"/>
  <c r="J14" i="3"/>
  <c r="K14" i="3" s="1"/>
  <c r="J15" i="3"/>
  <c r="M15" i="3" s="1"/>
  <c r="N15" i="3" s="1"/>
  <c r="J12" i="3"/>
  <c r="K12" i="3" s="1"/>
  <c r="J13" i="3"/>
  <c r="K13" i="3" s="1"/>
  <c r="J18" i="3"/>
  <c r="K18" i="3" s="1"/>
  <c r="M29" i="3"/>
  <c r="N29" i="3" s="1"/>
  <c r="J26" i="3"/>
  <c r="M26" i="3" s="1"/>
  <c r="N26" i="3" s="1"/>
  <c r="J22" i="3"/>
  <c r="K22" i="3" s="1"/>
  <c r="J25" i="3"/>
  <c r="K25" i="3" s="1"/>
  <c r="J27" i="3"/>
  <c r="M27" i="3" s="1"/>
  <c r="N27" i="3" s="1"/>
  <c r="J28" i="3"/>
  <c r="K28" i="3" s="1"/>
  <c r="M23" i="3"/>
  <c r="N23" i="3" s="1"/>
  <c r="J19" i="3"/>
  <c r="K19" i="3" s="1"/>
  <c r="J11" i="3"/>
  <c r="K11" i="3" s="1"/>
  <c r="J24" i="3"/>
  <c r="K24" i="3" s="1"/>
  <c r="J17" i="3"/>
  <c r="M17" i="3" s="1"/>
  <c r="N17" i="3" s="1"/>
  <c r="M18" i="3"/>
  <c r="N18" i="3" s="1"/>
  <c r="M14" i="3"/>
  <c r="N14" i="3" s="1"/>
  <c r="M19" i="3"/>
  <c r="N19" i="3" s="1"/>
  <c r="M11" i="3"/>
  <c r="N11" i="3" s="1"/>
  <c r="K15" i="3"/>
  <c r="J21" i="3"/>
  <c r="K21" i="3" s="1"/>
  <c r="J16" i="3"/>
  <c r="M30" i="3"/>
  <c r="N30" i="3" s="1"/>
  <c r="K30" i="3"/>
  <c r="M13" i="3"/>
  <c r="N13" i="3" s="1"/>
  <c r="K26" i="3"/>
  <c r="M22" i="3"/>
  <c r="N22" i="3" s="1"/>
  <c r="M20" i="3" l="1"/>
  <c r="N20" i="3" s="1"/>
  <c r="M28" i="3"/>
  <c r="N28" i="3" s="1"/>
  <c r="K27" i="3"/>
  <c r="M12" i="3"/>
  <c r="N12" i="3" s="1"/>
  <c r="M25" i="3"/>
  <c r="N25" i="3" s="1"/>
  <c r="M21" i="3"/>
  <c r="N21" i="3" s="1"/>
  <c r="K17" i="3"/>
  <c r="M24" i="3"/>
  <c r="N24" i="3" s="1"/>
  <c r="K16" i="3"/>
  <c r="M16" i="3"/>
  <c r="N1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<sst xmlns="http://schemas.openxmlformats.org/spreadsheetml/2006/main" count="358" uniqueCount="269">
  <si>
    <t>Símbolo</t>
  </si>
  <si>
    <t>Definición</t>
  </si>
  <si>
    <t>Unidades</t>
  </si>
  <si>
    <t>F</t>
  </si>
  <si>
    <t>Lectura balanza del dinamómetro.</t>
  </si>
  <si>
    <t>L</t>
  </si>
  <si>
    <t>Brazo de torsión del dinamómetro.</t>
  </si>
  <si>
    <t>m</t>
  </si>
  <si>
    <t>n</t>
  </si>
  <si>
    <t>Velocidad angular del motor.</t>
  </si>
  <si>
    <t>K</t>
  </si>
  <si>
    <t>Constante del dinamómetro.</t>
  </si>
  <si>
    <t>Potencia efectiva corregida.</t>
  </si>
  <si>
    <t>Potencia efectiva sin corregir (observada)</t>
  </si>
  <si>
    <t>Potencia indicada.</t>
  </si>
  <si>
    <t>Potencia de fricción.</t>
  </si>
  <si>
    <t>Potencia absorbida por el ventilador.</t>
  </si>
  <si>
    <t>W</t>
  </si>
  <si>
    <t>Peso del combustible</t>
  </si>
  <si>
    <t>A</t>
  </si>
  <si>
    <t>Tiempo de medición del combustible.</t>
  </si>
  <si>
    <t>minuto</t>
  </si>
  <si>
    <t>V</t>
  </si>
  <si>
    <t>Volumen de combustible medido.</t>
  </si>
  <si>
    <t>Peso específico del combustible a temperatura de bureta.</t>
  </si>
  <si>
    <t>Presión barométrica observada.</t>
  </si>
  <si>
    <t>mmHg</t>
  </si>
  <si>
    <t>Presión barométrica corregida (seca)</t>
  </si>
  <si>
    <t>P</t>
  </si>
  <si>
    <t>Presión barométrica normalizada (standard)</t>
  </si>
  <si>
    <t>Presión del vapor de agua en la atmósfera.</t>
  </si>
  <si>
    <t>t</t>
  </si>
  <si>
    <t>Temperatura ambiente.</t>
  </si>
  <si>
    <t>f</t>
  </si>
  <si>
    <t>Factor de corrección</t>
  </si>
  <si>
    <t>Consumo específico de combustible al freno.</t>
  </si>
  <si>
    <t>M</t>
  </si>
  <si>
    <t>Cupla motriz.</t>
  </si>
  <si>
    <t>T</t>
  </si>
  <si>
    <t>Temperatura aire ambiente absoluta</t>
  </si>
  <si>
    <r>
      <t>cm</t>
    </r>
    <r>
      <rPr>
        <vertAlign val="superscript"/>
        <sz val="11"/>
        <rFont val="Arial"/>
        <family val="2"/>
      </rPr>
      <t>3</t>
    </r>
  </si>
  <si>
    <r>
      <t>0</t>
    </r>
    <r>
      <rPr>
        <sz val="11"/>
        <rFont val="Arial"/>
        <family val="2"/>
      </rPr>
      <t>C</t>
    </r>
  </si>
  <si>
    <r>
      <t>0</t>
    </r>
    <r>
      <rPr>
        <sz val="11"/>
        <rFont val="Arial"/>
        <family val="2"/>
      </rPr>
      <t>K</t>
    </r>
  </si>
  <si>
    <r>
      <t>N</t>
    </r>
    <r>
      <rPr>
        <b/>
        <vertAlign val="subscript"/>
        <sz val="11"/>
        <rFont val="Arial"/>
        <family val="2"/>
      </rPr>
      <t>0</t>
    </r>
  </si>
  <si>
    <r>
      <t>N</t>
    </r>
    <r>
      <rPr>
        <b/>
        <vertAlign val="subscript"/>
        <sz val="11"/>
        <rFont val="Arial"/>
        <family val="2"/>
      </rPr>
      <t>E</t>
    </r>
  </si>
  <si>
    <r>
      <t>N</t>
    </r>
    <r>
      <rPr>
        <b/>
        <vertAlign val="subscript"/>
        <sz val="11"/>
        <rFont val="Arial"/>
        <family val="2"/>
      </rPr>
      <t>i</t>
    </r>
  </si>
  <si>
    <r>
      <t>N</t>
    </r>
    <r>
      <rPr>
        <b/>
        <vertAlign val="subscript"/>
        <sz val="11"/>
        <rFont val="Arial"/>
        <family val="2"/>
      </rPr>
      <t>f</t>
    </r>
  </si>
  <si>
    <r>
      <t>N</t>
    </r>
    <r>
      <rPr>
        <b/>
        <vertAlign val="subscript"/>
        <sz val="11"/>
        <rFont val="Arial"/>
        <family val="2"/>
      </rPr>
      <t>v</t>
    </r>
  </si>
  <si>
    <r>
      <t>g</t>
    </r>
    <r>
      <rPr>
        <b/>
        <vertAlign val="subscript"/>
        <sz val="11"/>
        <rFont val="Arial"/>
        <family val="2"/>
      </rPr>
      <t>c</t>
    </r>
  </si>
  <si>
    <r>
      <t>P</t>
    </r>
    <r>
      <rPr>
        <b/>
        <vertAlign val="subscript"/>
        <sz val="11"/>
        <rFont val="Arial"/>
        <family val="2"/>
      </rPr>
      <t>E</t>
    </r>
  </si>
  <si>
    <r>
      <t>P</t>
    </r>
    <r>
      <rPr>
        <b/>
        <vertAlign val="subscript"/>
        <sz val="11"/>
        <rFont val="Arial"/>
        <family val="2"/>
      </rPr>
      <t>d</t>
    </r>
  </si>
  <si>
    <r>
      <t>P</t>
    </r>
    <r>
      <rPr>
        <b/>
        <vertAlign val="subscript"/>
        <sz val="11"/>
        <rFont val="Arial"/>
        <family val="2"/>
      </rPr>
      <t>v</t>
    </r>
  </si>
  <si>
    <r>
      <t>C</t>
    </r>
    <r>
      <rPr>
        <b/>
        <vertAlign val="subscript"/>
        <sz val="11"/>
        <rFont val="Arial"/>
        <family val="2"/>
      </rPr>
      <t>e</t>
    </r>
  </si>
  <si>
    <r>
      <t>d</t>
    </r>
    <r>
      <rPr>
        <sz val="11"/>
        <rFont val="Arial"/>
        <family val="2"/>
      </rPr>
      <t xml:space="preserve"> = Condición de aire seco.</t>
    </r>
  </si>
  <si>
    <r>
      <t>h</t>
    </r>
    <r>
      <rPr>
        <sz val="11"/>
        <rFont val="Arial"/>
        <family val="2"/>
      </rPr>
      <t xml:space="preserve"> = Condición de aire húmedo.</t>
    </r>
  </si>
  <si>
    <r>
      <t>D</t>
    </r>
    <r>
      <rPr>
        <sz val="11"/>
        <rFont val="Arial"/>
        <family val="2"/>
      </rPr>
      <t xml:space="preserve"> = Motor Ciclo Diesel.</t>
    </r>
  </si>
  <si>
    <r>
      <t>S</t>
    </r>
    <r>
      <rPr>
        <sz val="11"/>
        <rFont val="Arial"/>
        <family val="2"/>
      </rPr>
      <t xml:space="preserve"> = Motor Ciclo Otto.</t>
    </r>
  </si>
  <si>
    <r>
      <t>E</t>
    </r>
    <r>
      <rPr>
        <vertAlign val="subscript"/>
        <sz val="11"/>
        <rFont val="Arial"/>
        <family val="2"/>
      </rPr>
      <t xml:space="preserve"> </t>
    </r>
    <r>
      <rPr>
        <sz val="11"/>
        <rFont val="Arial"/>
        <family val="2"/>
      </rPr>
      <t>= Observado en condiciones de ensayo.</t>
    </r>
  </si>
  <si>
    <t>Subíndices de la Simbología</t>
  </si>
  <si>
    <t xml:space="preserve">Constante del freno </t>
  </si>
  <si>
    <t xml:space="preserve">Factor de corrección  </t>
  </si>
  <si>
    <t xml:space="preserve">Presión barométrica standard </t>
  </si>
  <si>
    <t xml:space="preserve">Temperatura standard </t>
  </si>
  <si>
    <t>Descripción</t>
  </si>
  <si>
    <t>Ítem N°</t>
  </si>
  <si>
    <t>Unidad</t>
  </si>
  <si>
    <t>Potencia al freno</t>
  </si>
  <si>
    <t>Momento de torsión al freno</t>
  </si>
  <si>
    <t xml:space="preserve">[kgm]  </t>
  </si>
  <si>
    <t xml:space="preserve">[cv]  </t>
  </si>
  <si>
    <t>Potencia corregida</t>
  </si>
  <si>
    <t xml:space="preserve">[cv] </t>
  </si>
  <si>
    <t>Momento de torsión corregido</t>
  </si>
  <si>
    <t xml:space="preserve">[kgm] </t>
  </si>
  <si>
    <t>Consumo específico de combustible al freno</t>
  </si>
  <si>
    <t>[gr/cv.h]</t>
  </si>
  <si>
    <t>Consumo de combustible</t>
  </si>
  <si>
    <t xml:space="preserve">[gr/h]  </t>
  </si>
  <si>
    <t xml:space="preserve">[mmHg]  </t>
  </si>
  <si>
    <t>Presión barométrica seca</t>
  </si>
  <si>
    <t>[°C]</t>
  </si>
  <si>
    <t>Fórmula</t>
  </si>
  <si>
    <t>kg</t>
  </si>
  <si>
    <t>rpm</t>
  </si>
  <si>
    <t>cv</t>
  </si>
  <si>
    <t>kgm</t>
  </si>
  <si>
    <t>Medición N°</t>
  </si>
  <si>
    <t>Hora</t>
  </si>
  <si>
    <t>[hh:mm:ss]</t>
  </si>
  <si>
    <t>Velocidad Angular</t>
  </si>
  <si>
    <t>[rpm]</t>
  </si>
  <si>
    <t>Lectura Dinamómetro</t>
  </si>
  <si>
    <t>[cv]</t>
  </si>
  <si>
    <t>[°K]</t>
  </si>
  <si>
    <t>Cupla Motriz</t>
  </si>
  <si>
    <t>[kgm]</t>
  </si>
  <si>
    <r>
      <t>[kg/cm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]</t>
    </r>
  </si>
  <si>
    <t>POTENCIA - PAR</t>
  </si>
  <si>
    <r>
      <t>Potencia Observada</t>
    </r>
    <r>
      <rPr>
        <b/>
        <sz val="11"/>
        <rFont val="Arial"/>
        <family val="2"/>
      </rPr>
      <t/>
    </r>
  </si>
  <si>
    <t>Potencia Efectiva Corregida</t>
  </si>
  <si>
    <t>Potencia Indicada</t>
  </si>
  <si>
    <t>Potencia Fricción</t>
  </si>
  <si>
    <t>Potencia Absorvida Ventilador</t>
  </si>
  <si>
    <t>Presión Media Efectiva</t>
  </si>
  <si>
    <t>Tiempo</t>
  </si>
  <si>
    <t>PME</t>
  </si>
  <si>
    <t>[min]</t>
  </si>
  <si>
    <r>
      <t>[cm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]</t>
    </r>
  </si>
  <si>
    <t>Volumen Medido</t>
  </si>
  <si>
    <t>Peso específico temperatura bureta.</t>
  </si>
  <si>
    <t>Consumo Específico al Freno</t>
  </si>
  <si>
    <t xml:space="preserve">PME </t>
  </si>
  <si>
    <t>Presión Media Indicada</t>
  </si>
  <si>
    <r>
      <t>kg/cm</t>
    </r>
    <r>
      <rPr>
        <vertAlign val="superscript"/>
        <sz val="11"/>
        <rFont val="Arial"/>
        <family val="2"/>
      </rPr>
      <t>2</t>
    </r>
  </si>
  <si>
    <t>CNPT</t>
  </si>
  <si>
    <t>Condiciones Normales de Presión y Temperatura</t>
  </si>
  <si>
    <t>PMI</t>
  </si>
  <si>
    <t>Presión</t>
  </si>
  <si>
    <t>Temperatura</t>
  </si>
  <si>
    <t>Factor Corrección</t>
  </si>
  <si>
    <t>Opacidad</t>
  </si>
  <si>
    <t>[N° Bosch]</t>
  </si>
  <si>
    <r>
      <t>[gr/cm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]</t>
    </r>
  </si>
  <si>
    <t>Monóxido Carbono</t>
  </si>
  <si>
    <t>Dióxido Carbono</t>
  </si>
  <si>
    <t>[%]</t>
  </si>
  <si>
    <t>Oxígeno</t>
  </si>
  <si>
    <t>Hidrocarburos Libres</t>
  </si>
  <si>
    <t>[ppm]</t>
  </si>
  <si>
    <t>HC</t>
  </si>
  <si>
    <t>CO</t>
  </si>
  <si>
    <r>
      <t>CO</t>
    </r>
    <r>
      <rPr>
        <b/>
        <vertAlign val="subscript"/>
        <sz val="11"/>
        <rFont val="Arial"/>
        <family val="2"/>
      </rPr>
      <t>2</t>
    </r>
  </si>
  <si>
    <r>
      <t>O</t>
    </r>
    <r>
      <rPr>
        <b/>
        <vertAlign val="subscript"/>
        <sz val="11"/>
        <rFont val="Arial"/>
        <family val="2"/>
      </rPr>
      <t>2</t>
    </r>
  </si>
  <si>
    <t>Oxidos Nitrosos</t>
  </si>
  <si>
    <t>ESCAPE</t>
  </si>
  <si>
    <r>
      <t>P</t>
    </r>
    <r>
      <rPr>
        <b/>
        <vertAlign val="subscript"/>
        <sz val="11"/>
        <rFont val="Arial"/>
        <family val="2"/>
      </rPr>
      <t>e</t>
    </r>
  </si>
  <si>
    <r>
      <t>t</t>
    </r>
    <r>
      <rPr>
        <b/>
        <vertAlign val="subscript"/>
        <sz val="11"/>
        <rFont val="Arial"/>
        <family val="2"/>
      </rPr>
      <t>e</t>
    </r>
  </si>
  <si>
    <r>
      <t>P</t>
    </r>
    <r>
      <rPr>
        <b/>
        <vertAlign val="subscript"/>
        <sz val="11"/>
        <rFont val="Arial"/>
        <family val="2"/>
      </rPr>
      <t>a</t>
    </r>
  </si>
  <si>
    <r>
      <t>t</t>
    </r>
    <r>
      <rPr>
        <b/>
        <vertAlign val="subscript"/>
        <sz val="11"/>
        <rFont val="Arial"/>
        <family val="2"/>
      </rPr>
      <t>a</t>
    </r>
  </si>
  <si>
    <t>O</t>
  </si>
  <si>
    <t>[mmHg]</t>
  </si>
  <si>
    <r>
      <t>P</t>
    </r>
    <r>
      <rPr>
        <b/>
        <vertAlign val="subscript"/>
        <sz val="11"/>
        <rFont val="Arial"/>
        <family val="2"/>
      </rPr>
      <t>SA</t>
    </r>
  </si>
  <si>
    <t>LUBRICACIÓN</t>
  </si>
  <si>
    <t>ALIMENTACIÓN</t>
  </si>
  <si>
    <t>Presión Sobre-alimentación</t>
  </si>
  <si>
    <t>NOx</t>
  </si>
  <si>
    <t>Temperatura de Aceite</t>
  </si>
  <si>
    <t>Presión de Aceite</t>
  </si>
  <si>
    <t>Presión de Sobrealimentación</t>
  </si>
  <si>
    <t>Presión de Escape</t>
  </si>
  <si>
    <t>Temperatura de Escape</t>
  </si>
  <si>
    <t>Monóxido en Gases de Escape</t>
  </si>
  <si>
    <t>Dióxido en Gases de Escape</t>
  </si>
  <si>
    <t>Opacidad en Motores Ciclo Diesel</t>
  </si>
  <si>
    <t>Oxígeno Libre en Gases de Escape</t>
  </si>
  <si>
    <t>Hidrocarburos no combustionados en Gases de Escape</t>
  </si>
  <si>
    <t>Oxidos Nitrosos en Gases de Escape</t>
  </si>
  <si>
    <t>%</t>
  </si>
  <si>
    <t>ppm</t>
  </si>
  <si>
    <t>N° Bosch</t>
  </si>
  <si>
    <t>Peso</t>
  </si>
  <si>
    <t>[g]</t>
  </si>
  <si>
    <r>
      <t>g/cm</t>
    </r>
    <r>
      <rPr>
        <vertAlign val="superscript"/>
        <sz val="11"/>
        <rFont val="Arial"/>
        <family val="2"/>
      </rPr>
      <t>3</t>
    </r>
  </si>
  <si>
    <t>g/cv.h</t>
  </si>
  <si>
    <t>g</t>
  </si>
  <si>
    <r>
      <t>t</t>
    </r>
    <r>
      <rPr>
        <b/>
        <sz val="10"/>
        <rFont val="Arial"/>
        <family val="2"/>
      </rPr>
      <t xml:space="preserve"> </t>
    </r>
    <r>
      <rPr>
        <b/>
        <sz val="8"/>
        <rFont val="Arial"/>
        <family val="2"/>
      </rPr>
      <t>d</t>
    </r>
  </si>
  <si>
    <r>
      <t>t</t>
    </r>
    <r>
      <rPr>
        <b/>
        <sz val="10"/>
        <rFont val="Arial"/>
        <family val="2"/>
      </rPr>
      <t xml:space="preserve"> </t>
    </r>
    <r>
      <rPr>
        <b/>
        <sz val="8"/>
        <rFont val="Arial"/>
        <family val="2"/>
      </rPr>
      <t>h</t>
    </r>
  </si>
  <si>
    <r>
      <t>Brazo Torsión Dinamómetro</t>
    </r>
    <r>
      <rPr>
        <b/>
        <sz val="12"/>
        <rFont val="Arial"/>
        <family val="2"/>
      </rPr>
      <t xml:space="preserve"> L </t>
    </r>
    <r>
      <rPr>
        <sz val="11"/>
        <rFont val="Arial"/>
        <family val="2"/>
      </rPr>
      <t>[m]</t>
    </r>
  </si>
  <si>
    <r>
      <t xml:space="preserve">Constante del Dinamómetro </t>
    </r>
    <r>
      <rPr>
        <b/>
        <sz val="11"/>
        <rFont val="Arial"/>
        <family val="2"/>
      </rPr>
      <t>K</t>
    </r>
    <r>
      <rPr>
        <sz val="11"/>
        <rFont val="Arial"/>
        <family val="2"/>
      </rPr>
      <t>:</t>
    </r>
  </si>
  <si>
    <t>Temperatura Bulbo Seco</t>
  </si>
  <si>
    <t>Temperatura Bulbo Húmedo</t>
  </si>
  <si>
    <t>Presión Barométrica Observada</t>
  </si>
  <si>
    <t>Presión Vapor Atmosférico</t>
  </si>
  <si>
    <t>Presión Barométrica Corregida</t>
  </si>
  <si>
    <t>H</t>
  </si>
  <si>
    <t>Hora en que transcurre el ensayo</t>
  </si>
  <si>
    <t>hh:mm:ss</t>
  </si>
  <si>
    <r>
      <t>0</t>
    </r>
    <r>
      <rPr>
        <sz val="11"/>
        <rFont val="Arial"/>
        <family val="2"/>
      </rPr>
      <t xml:space="preserve"> = Corregido a condiciones normalizadas.</t>
    </r>
  </si>
  <si>
    <r>
      <t>M</t>
    </r>
    <r>
      <rPr>
        <b/>
        <vertAlign val="subscript"/>
        <sz val="11"/>
        <rFont val="Arial"/>
        <family val="2"/>
      </rPr>
      <t>E</t>
    </r>
  </si>
  <si>
    <r>
      <t>M</t>
    </r>
    <r>
      <rPr>
        <b/>
        <vertAlign val="subscript"/>
        <sz val="11"/>
        <rFont val="Arial"/>
        <family val="2"/>
      </rPr>
      <t>0</t>
    </r>
  </si>
  <si>
    <t>Cupla Motriz Corregida</t>
  </si>
  <si>
    <t>Temperatura Ambiente</t>
  </si>
  <si>
    <t>Temperatura Ambiente Absoluta</t>
  </si>
  <si>
    <t>Humedad Relativa</t>
  </si>
  <si>
    <t>Presión Atmosférica</t>
  </si>
  <si>
    <r>
      <t>P</t>
    </r>
    <r>
      <rPr>
        <b/>
        <vertAlign val="subscript"/>
        <sz val="11"/>
        <rFont val="Arial"/>
        <family val="2"/>
      </rPr>
      <t>AT</t>
    </r>
  </si>
  <si>
    <t>Hu</t>
  </si>
  <si>
    <t>Condiciones Climáticas</t>
  </si>
  <si>
    <t>Tractor</t>
  </si>
  <si>
    <t>Automóvil</t>
  </si>
  <si>
    <t>Camioneta</t>
  </si>
  <si>
    <t>Omnibus</t>
  </si>
  <si>
    <t>Máquina Vial</t>
  </si>
  <si>
    <t>Bombeo</t>
  </si>
  <si>
    <t>Gurpo Electrógeno</t>
  </si>
  <si>
    <t>Autoelevador</t>
  </si>
  <si>
    <t>Uso Desconocido</t>
  </si>
  <si>
    <t>Compresor</t>
  </si>
  <si>
    <t>Fecha:</t>
  </si>
  <si>
    <t>Informe N°</t>
  </si>
  <si>
    <t>Presió Atmosférica</t>
  </si>
  <si>
    <t>Humedad Relativa atmosférica</t>
  </si>
  <si>
    <t>Operador:</t>
  </si>
  <si>
    <t>FIRMA</t>
  </si>
  <si>
    <t>Modelo:</t>
  </si>
  <si>
    <t>N° Serie:</t>
  </si>
  <si>
    <t>Dinamómetro:</t>
  </si>
  <si>
    <t>Fabricante:</t>
  </si>
  <si>
    <t>Serie N°:</t>
  </si>
  <si>
    <t>Tiempo Motor:</t>
  </si>
  <si>
    <t>MOTOR ENSAYADO:</t>
  </si>
  <si>
    <t>N° Cilindros</t>
  </si>
  <si>
    <t>Relación Nominal Compresión</t>
  </si>
  <si>
    <t>C2L-710</t>
  </si>
  <si>
    <t>9,25:1</t>
  </si>
  <si>
    <t>Avance Máximo:</t>
  </si>
  <si>
    <t>Tipo:</t>
  </si>
  <si>
    <t>Ajuste Básico:</t>
  </si>
  <si>
    <t>Ángulo de Permanencia:</t>
  </si>
  <si>
    <t>[°]</t>
  </si>
  <si>
    <t>Distribuidor Fabricante:</t>
  </si>
  <si>
    <t>Bobina Fabricante:</t>
  </si>
  <si>
    <t>Bujía Fabricante:</t>
  </si>
  <si>
    <t>Modelo Bujía:</t>
  </si>
  <si>
    <t xml:space="preserve">Viscocidad SAE: </t>
  </si>
  <si>
    <t>Tipo Aceite:</t>
  </si>
  <si>
    <t>Alternador Fab.:</t>
  </si>
  <si>
    <t>Regulador Fab.:</t>
  </si>
  <si>
    <t>Aplicación del Motor:</t>
  </si>
  <si>
    <t>Son datos que se deben ingresar en las columnas en las unidades estipuladas.</t>
  </si>
  <si>
    <t>Son datos obtenidos automáticamente por la fórmula introducida en la planilla.</t>
  </si>
  <si>
    <t>Son los datos graficados.</t>
  </si>
  <si>
    <t>Mineral</t>
  </si>
  <si>
    <t>NGK</t>
  </si>
  <si>
    <t>BPR5</t>
  </si>
  <si>
    <t>Laboratorio de Automotores</t>
  </si>
  <si>
    <t>Director del Laboratorio de Automotores:</t>
  </si>
  <si>
    <t>Prof. Ing. Gerhard E. RAITH</t>
  </si>
  <si>
    <t>Referencias:</t>
  </si>
  <si>
    <t>LA-807072-01</t>
  </si>
  <si>
    <t>© Gerhard Eduardo RAITH, mayo 2008</t>
  </si>
  <si>
    <t>© Gerhard Eduardo RAITH,actualización y modificaciones, junio 2015.</t>
  </si>
  <si>
    <t>Para citar esta planilla de ensayos: "Gerhard E. RAITH, Modelo Registro de Ensayos de Motores, junio 2025"</t>
  </si>
  <si>
    <t>BS.4999/5000 PT11</t>
  </si>
  <si>
    <t>55317-2</t>
  </si>
  <si>
    <t>CABA, 15 de Julio de 2025</t>
  </si>
  <si>
    <t>Petter</t>
  </si>
  <si>
    <t>LAR 0353</t>
  </si>
  <si>
    <t>CB Gabriel Alfonso</t>
  </si>
  <si>
    <t>PLINT-TE15</t>
  </si>
  <si>
    <t>PLINT-TE17</t>
  </si>
  <si>
    <t>Magneto</t>
  </si>
  <si>
    <t>Wico</t>
  </si>
  <si>
    <t>[km]  [hs]</t>
  </si>
  <si>
    <t>Otro</t>
  </si>
  <si>
    <t>@</t>
  </si>
  <si>
    <r>
      <rPr>
        <b/>
        <sz val="8"/>
        <rFont val="Arial"/>
        <family val="2"/>
      </rPr>
      <t>Luz</t>
    </r>
    <r>
      <rPr>
        <sz val="8"/>
        <rFont val="Arial"/>
        <family val="2"/>
      </rPr>
      <t xml:space="preserve"> [mm]:</t>
    </r>
  </si>
  <si>
    <t>No posee</t>
  </si>
  <si>
    <r>
      <rPr>
        <b/>
        <sz val="10"/>
        <rFont val="Arial"/>
        <family val="2"/>
      </rPr>
      <t>Apertura Máx. Admisión</t>
    </r>
    <r>
      <rPr>
        <sz val="10"/>
        <rFont val="Arial"/>
        <family val="2"/>
      </rPr>
      <t xml:space="preserve"> [mm]:</t>
    </r>
  </si>
  <si>
    <r>
      <rPr>
        <b/>
        <sz val="10"/>
        <rFont val="Arial"/>
        <family val="2"/>
      </rPr>
      <t>Apertura Máx. scape</t>
    </r>
    <r>
      <rPr>
        <sz val="10"/>
        <rFont val="Arial"/>
        <family val="2"/>
      </rPr>
      <t xml:space="preserve"> [mm]:</t>
    </r>
  </si>
  <si>
    <r>
      <rPr>
        <b/>
        <sz val="6"/>
        <rFont val="Arial"/>
        <family val="2"/>
      </rPr>
      <t>Luz Admisión</t>
    </r>
    <r>
      <rPr>
        <sz val="6"/>
        <rFont val="Arial"/>
        <family val="2"/>
      </rPr>
      <t xml:space="preserve"> [mm]</t>
    </r>
  </si>
  <si>
    <r>
      <rPr>
        <b/>
        <sz val="6"/>
        <rFont val="Arial"/>
        <family val="2"/>
      </rPr>
      <t>Luz Escape</t>
    </r>
    <r>
      <rPr>
        <sz val="6"/>
        <rFont val="Arial"/>
        <family val="2"/>
      </rPr>
      <t xml:space="preserve"> [mm]</t>
    </r>
  </si>
  <si>
    <r>
      <rPr>
        <b/>
        <sz val="9"/>
        <rFont val="Arial"/>
        <family val="2"/>
      </rPr>
      <t>Capacidad Aceite</t>
    </r>
    <r>
      <rPr>
        <sz val="10"/>
        <rFont val="Arial"/>
        <family val="2"/>
      </rPr>
      <t xml:space="preserve"> [l]</t>
    </r>
  </si>
  <si>
    <r>
      <t xml:space="preserve">Observaciones:
</t>
    </r>
    <r>
      <rPr>
        <sz val="10"/>
        <rFont val="Arial"/>
        <family val="2"/>
      </rPr>
      <t>Avance regulable en rango de 40 a -20</t>
    </r>
  </si>
  <si>
    <r>
      <rPr>
        <b/>
        <sz val="8"/>
        <rFont val="Arial"/>
        <family val="2"/>
      </rPr>
      <t>Indicación Compresómetro</t>
    </r>
    <r>
      <rPr>
        <sz val="8"/>
        <rFont val="Arial"/>
        <family val="2"/>
      </rPr>
      <t xml:space="preserve"> [kg/cm2]</t>
    </r>
  </si>
  <si>
    <r>
      <rPr>
        <b/>
        <sz val="8"/>
        <rFont val="Arial"/>
        <family val="2"/>
      </rPr>
      <t xml:space="preserve">Cilindrada </t>
    </r>
    <r>
      <rPr>
        <sz val="8"/>
        <rFont val="Arial"/>
        <family val="2"/>
      </rPr>
      <t>[cm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]</t>
    </r>
  </si>
  <si>
    <r>
      <rPr>
        <b/>
        <sz val="8"/>
        <rFont val="Arial"/>
        <family val="2"/>
      </rPr>
      <t>Carrera</t>
    </r>
    <r>
      <rPr>
        <sz val="8"/>
        <rFont val="Arial"/>
        <family val="2"/>
      </rPr>
      <t xml:space="preserve"> [mm]</t>
    </r>
  </si>
  <si>
    <r>
      <rPr>
        <b/>
        <sz val="8"/>
        <rFont val="Arial"/>
        <family val="2"/>
      </rPr>
      <t>Diámtro</t>
    </r>
    <r>
      <rPr>
        <sz val="8"/>
        <rFont val="Arial"/>
        <family val="2"/>
      </rPr>
      <t xml:space="preserve"> [mm]</t>
    </r>
  </si>
  <si>
    <t>[kgf]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</si>
</sst>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29" x14ac:knownFonts="1">
    <font>
      <sz val="11"/>
      <name val="Arial"/>
    </font>
    <font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1"/>
      <name val="Arial"/>
      <family val="2"/>
    </font>
    <font>
      <b/>
      <vertAlign val="subscript"/>
      <sz val="11"/>
      <name val="Arial"/>
      <family val="2"/>
    </font>
    <font>
      <b/>
      <sz val="11"/>
      <name val="Symbol"/>
      <family val="1"/>
      <charset val="2"/>
    </font>
    <font>
      <vertAlign val="subscript"/>
      <sz val="1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7"/>
      <name val="Arial"/>
      <family val="2"/>
    </font>
    <font>
      <vertAlign val="superscript"/>
      <sz val="8"/>
      <name val="Arial"/>
      <family val="2"/>
    </font>
    <font>
      <sz val="6"/>
      <name val="Arial"/>
      <family val="2"/>
    </font>
    <font>
      <b/>
      <u/>
      <sz val="11"/>
      <name val="Arial"/>
      <family val="2"/>
    </font>
    <font>
      <b/>
      <sz val="12"/>
      <name val="Calibri"/>
      <family val="2"/>
    </font>
    <font>
      <sz val="8"/>
      <color rgb="FF000000"/>
      <name val="Tahoma"/>
      <family val="2"/>
    </font>
    <font>
      <b/>
      <sz val="6"/>
      <name val="Arial"/>
      <family val="2"/>
    </font>
    <font>
      <b/>
      <sz val="18"/>
      <name val="Blackadder ITC"/>
      <family val="5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 diagonalDown="1">
      <left/>
      <right/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44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justify"/>
    </xf>
    <xf numFmtId="0" fontId="6" fillId="0" borderId="10" xfId="0" applyFont="1" applyBorder="1" applyAlignment="1">
      <alignment horizontal="justify"/>
    </xf>
    <xf numFmtId="0" fontId="7" fillId="0" borderId="10" xfId="0" applyFont="1" applyBorder="1" applyAlignment="1">
      <alignment horizontal="justify"/>
    </xf>
    <xf numFmtId="0" fontId="7" fillId="0" borderId="11" xfId="0" applyFont="1" applyBorder="1" applyAlignment="1">
      <alignment horizontal="justify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4" fillId="0" borderId="12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4" fillId="0" borderId="14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6" fillId="0" borderId="0" xfId="0" applyFont="1"/>
    <xf numFmtId="0" fontId="2" fillId="0" borderId="0" xfId="0" applyFont="1" applyAlignment="1">
      <alignment horizontal="center"/>
    </xf>
    <xf numFmtId="0" fontId="6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justify" vertical="center" wrapText="1"/>
    </xf>
    <xf numFmtId="0" fontId="5" fillId="0" borderId="25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3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20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6" fillId="0" borderId="27" xfId="0" applyFont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/>
    </xf>
    <xf numFmtId="3" fontId="4" fillId="6" borderId="3" xfId="0" applyNumberFormat="1" applyFont="1" applyFill="1" applyBorder="1" applyAlignment="1">
      <alignment horizontal="center" vertical="center"/>
    </xf>
    <xf numFmtId="3" fontId="0" fillId="6" borderId="3" xfId="0" applyNumberForma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164" fontId="4" fillId="0" borderId="22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0" borderId="2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2" fillId="5" borderId="65" xfId="0" applyFont="1" applyFill="1" applyBorder="1" applyAlignment="1">
      <alignment horizontal="center"/>
    </xf>
    <xf numFmtId="0" fontId="20" fillId="0" borderId="65" xfId="0" applyFont="1" applyBorder="1" applyAlignment="1">
      <alignment horizontal="center"/>
    </xf>
    <xf numFmtId="2" fontId="18" fillId="0" borderId="66" xfId="0" applyNumberFormat="1" applyFont="1" applyBorder="1" applyAlignment="1">
      <alignment horizontal="center"/>
    </xf>
    <xf numFmtId="0" fontId="11" fillId="0" borderId="5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8" borderId="76" xfId="0" applyFont="1" applyFill="1" applyBorder="1" applyAlignment="1">
      <alignment horizontal="center" vertical="center" wrapText="1"/>
    </xf>
    <xf numFmtId="0" fontId="11" fillId="8" borderId="54" xfId="0" applyFont="1" applyFill="1" applyBorder="1" applyAlignment="1">
      <alignment horizontal="center" vertical="center" wrapText="1"/>
    </xf>
    <xf numFmtId="0" fontId="11" fillId="8" borderId="77" xfId="0" applyFont="1" applyFill="1" applyBorder="1" applyAlignment="1">
      <alignment horizontal="center" vertical="center" wrapText="1"/>
    </xf>
    <xf numFmtId="0" fontId="11" fillId="9" borderId="53" xfId="0" applyFont="1" applyFill="1" applyBorder="1" applyAlignment="1">
      <alignment horizontal="center" vertical="center" wrapText="1"/>
    </xf>
    <xf numFmtId="0" fontId="11" fillId="9" borderId="54" xfId="0" applyFont="1" applyFill="1" applyBorder="1" applyAlignment="1">
      <alignment horizontal="center" vertical="center" wrapText="1"/>
    </xf>
    <xf numFmtId="0" fontId="15" fillId="9" borderId="54" xfId="0" applyFont="1" applyFill="1" applyBorder="1" applyAlignment="1">
      <alignment horizontal="center" vertical="center" wrapText="1"/>
    </xf>
    <xf numFmtId="0" fontId="15" fillId="9" borderId="77" xfId="0" applyFont="1" applyFill="1" applyBorder="1" applyAlignment="1">
      <alignment horizontal="center" vertical="center" wrapText="1"/>
    </xf>
    <xf numFmtId="0" fontId="11" fillId="4" borderId="53" xfId="0" applyFont="1" applyFill="1" applyBorder="1" applyAlignment="1">
      <alignment horizontal="center" vertical="center" wrapText="1"/>
    </xf>
    <xf numFmtId="0" fontId="11" fillId="4" borderId="55" xfId="0" applyFont="1" applyFill="1" applyBorder="1" applyAlignment="1">
      <alignment horizontal="center" vertical="center" wrapText="1"/>
    </xf>
    <xf numFmtId="0" fontId="11" fillId="2" borderId="76" xfId="0" applyFont="1" applyFill="1" applyBorder="1" applyAlignment="1">
      <alignment horizontal="center" vertical="center" wrapText="1"/>
    </xf>
    <xf numFmtId="0" fontId="11" fillId="2" borderId="54" xfId="0" applyFont="1" applyFill="1" applyBorder="1" applyAlignment="1">
      <alignment horizontal="center" vertical="center" wrapText="1"/>
    </xf>
    <xf numFmtId="0" fontId="11" fillId="2" borderId="78" xfId="0" applyFont="1" applyFill="1" applyBorder="1" applyAlignment="1">
      <alignment horizontal="center" vertical="center" wrapText="1"/>
    </xf>
    <xf numFmtId="0" fontId="6" fillId="3" borderId="79" xfId="0" applyFont="1" applyFill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2" fillId="0" borderId="83" xfId="0" applyFont="1" applyBorder="1" applyAlignment="1">
      <alignment horizontal="center" vertical="center"/>
    </xf>
    <xf numFmtId="0" fontId="6" fillId="0" borderId="84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164" fontId="0" fillId="0" borderId="54" xfId="0" applyNumberFormat="1" applyBorder="1" applyAlignment="1">
      <alignment horizontal="center" vertical="center"/>
    </xf>
    <xf numFmtId="3" fontId="4" fillId="6" borderId="54" xfId="0" applyNumberFormat="1" applyFont="1" applyFill="1" applyBorder="1" applyAlignment="1">
      <alignment horizontal="center" vertical="center"/>
    </xf>
    <xf numFmtId="164" fontId="4" fillId="0" borderId="54" xfId="0" applyNumberFormat="1" applyFont="1" applyBorder="1" applyAlignment="1">
      <alignment horizontal="center"/>
    </xf>
    <xf numFmtId="166" fontId="0" fillId="0" borderId="54" xfId="0" applyNumberFormat="1" applyBorder="1" applyAlignment="1">
      <alignment horizontal="center" vertical="center"/>
    </xf>
    <xf numFmtId="164" fontId="0" fillId="6" borderId="54" xfId="0" applyNumberFormat="1" applyFill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6" fillId="0" borderId="85" xfId="0" applyFon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6" fillId="0" borderId="86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2" fontId="0" fillId="0" borderId="65" xfId="0" applyNumberFormat="1" applyBorder="1" applyAlignment="1">
      <alignment horizontal="center" vertical="center"/>
    </xf>
    <xf numFmtId="164" fontId="0" fillId="0" borderId="65" xfId="0" applyNumberFormat="1" applyBorder="1" applyAlignment="1">
      <alignment horizontal="center" vertical="center"/>
    </xf>
    <xf numFmtId="3" fontId="0" fillId="0" borderId="65" xfId="0" applyNumberFormat="1" applyBorder="1" applyAlignment="1">
      <alignment horizontal="center" vertical="center"/>
    </xf>
    <xf numFmtId="166" fontId="0" fillId="0" borderId="65" xfId="0" applyNumberFormat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7" xfId="0" applyBorder="1" applyAlignment="1">
      <alignment vertical="center"/>
    </xf>
    <xf numFmtId="0" fontId="11" fillId="0" borderId="3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6" fillId="0" borderId="0" xfId="0" applyFont="1"/>
    <xf numFmtId="0" fontId="4" fillId="0" borderId="0" xfId="0" applyFont="1"/>
    <xf numFmtId="0" fontId="24" fillId="0" borderId="0" xfId="0" applyFont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11" fillId="0" borderId="22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6" fillId="0" borderId="74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13" fillId="0" borderId="54" xfId="0" applyFont="1" applyBorder="1" applyAlignment="1">
      <alignment vertical="center"/>
    </xf>
    <xf numFmtId="3" fontId="0" fillId="0" borderId="24" xfId="0" applyNumberFormat="1" applyBorder="1" applyAlignment="1">
      <alignment horizontal="center" vertical="center"/>
    </xf>
    <xf numFmtId="0" fontId="13" fillId="0" borderId="65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18" fillId="0" borderId="18" xfId="0" applyFont="1" applyBorder="1" applyAlignment="1">
      <alignment horizontal="left" vertical="center"/>
    </xf>
    <xf numFmtId="0" fontId="13" fillId="0" borderId="54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57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left" vertical="center"/>
    </xf>
    <xf numFmtId="0" fontId="19" fillId="0" borderId="43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26" xfId="0" applyFont="1" applyBorder="1" applyAlignment="1">
      <alignment horizontal="left" vertical="center"/>
    </xf>
    <xf numFmtId="0" fontId="19" fillId="0" borderId="95" xfId="0" applyFont="1" applyBorder="1" applyAlignment="1">
      <alignment horizontal="left" vertical="center"/>
    </xf>
    <xf numFmtId="0" fontId="19" fillId="0" borderId="96" xfId="0" applyFont="1" applyBorder="1" applyAlignment="1">
      <alignment horizontal="left" vertical="center"/>
    </xf>
    <xf numFmtId="165" fontId="0" fillId="0" borderId="17" xfId="0" applyNumberFormat="1" applyBorder="1" applyAlignment="1">
      <alignment horizontal="center" vertical="center" wrapText="1"/>
    </xf>
    <xf numFmtId="165" fontId="0" fillId="0" borderId="28" xfId="0" applyNumberForma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0" fillId="7" borderId="52" xfId="0" applyFont="1" applyFill="1" applyBorder="1" applyAlignment="1">
      <alignment horizontal="center" vertical="center" wrapText="1"/>
    </xf>
    <xf numFmtId="0" fontId="10" fillId="7" borderId="50" xfId="0" applyFont="1" applyFill="1" applyBorder="1" applyAlignment="1">
      <alignment horizontal="center" vertical="center" wrapText="1"/>
    </xf>
    <xf numFmtId="0" fontId="10" fillId="7" borderId="5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2" fillId="9" borderId="69" xfId="0" applyFont="1" applyFill="1" applyBorder="1" applyAlignment="1">
      <alignment horizontal="center"/>
    </xf>
    <xf numFmtId="0" fontId="2" fillId="9" borderId="67" xfId="0" applyFont="1" applyFill="1" applyBorder="1" applyAlignment="1">
      <alignment horizontal="center"/>
    </xf>
    <xf numFmtId="0" fontId="2" fillId="9" borderId="68" xfId="0" applyFont="1" applyFill="1" applyBorder="1" applyAlignment="1">
      <alignment horizontal="center"/>
    </xf>
    <xf numFmtId="0" fontId="2" fillId="8" borderId="67" xfId="0" applyFont="1" applyFill="1" applyBorder="1" applyAlignment="1">
      <alignment horizontal="center"/>
    </xf>
    <xf numFmtId="0" fontId="2" fillId="8" borderId="68" xfId="0" applyFont="1" applyFill="1" applyBorder="1" applyAlignment="1">
      <alignment horizontal="center"/>
    </xf>
    <xf numFmtId="0" fontId="2" fillId="4" borderId="70" xfId="0" applyFont="1" applyFill="1" applyBorder="1" applyAlignment="1">
      <alignment horizontal="center"/>
    </xf>
    <xf numFmtId="0" fontId="2" fillId="4" borderId="7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3" fillId="0" borderId="91" xfId="0" applyFont="1" applyBorder="1" applyAlignment="1">
      <alignment horizontal="center" vertical="center" wrapText="1"/>
    </xf>
    <xf numFmtId="0" fontId="13" fillId="0" borderId="92" xfId="0" applyFont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13" fillId="0" borderId="89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94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wrapText="1"/>
    </xf>
    <xf numFmtId="0" fontId="21" fillId="0" borderId="6" xfId="0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21" fillId="0" borderId="8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 textRotation="90" wrapText="1"/>
    </xf>
    <xf numFmtId="0" fontId="13" fillId="0" borderId="61" xfId="0" applyFont="1" applyBorder="1" applyAlignment="1">
      <alignment horizontal="center" vertical="center" textRotation="90" wrapText="1"/>
    </xf>
    <xf numFmtId="0" fontId="13" fillId="0" borderId="63" xfId="0" applyFont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/>
    </xf>
    <xf numFmtId="0" fontId="2" fillId="2" borderId="73" xfId="0" applyFont="1" applyFill="1" applyBorder="1" applyAlignment="1">
      <alignment horizontal="center"/>
    </xf>
    <xf numFmtId="0" fontId="2" fillId="2" borderId="74" xfId="0" applyFont="1" applyFill="1" applyBorder="1" applyAlignment="1">
      <alignment horizontal="center"/>
    </xf>
    <xf numFmtId="0" fontId="2" fillId="2" borderId="75" xfId="0" applyFont="1" applyFill="1" applyBorder="1" applyAlignment="1">
      <alignment horizontal="center"/>
    </xf>
    <xf numFmtId="0" fontId="17" fillId="0" borderId="7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left" vertical="center"/>
    </xf>
    <xf numFmtId="0" fontId="19" fillId="0" borderId="54" xfId="0" applyFont="1" applyBorder="1" applyAlignment="1">
      <alignment horizontal="left" vertical="center"/>
    </xf>
    <xf numFmtId="0" fontId="0" fillId="0" borderId="5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5" xfId="0" applyFont="1" applyBorder="1" applyAlignment="1">
      <alignment horizontal="left" vertical="center"/>
    </xf>
    <xf numFmtId="0" fontId="21" fillId="0" borderId="52" xfId="0" applyFont="1" applyBorder="1" applyAlignment="1">
      <alignment horizontal="center" wrapText="1"/>
    </xf>
    <xf numFmtId="0" fontId="21" fillId="0" borderId="50" xfId="0" applyFont="1" applyBorder="1" applyAlignment="1">
      <alignment horizontal="center" wrapText="1"/>
    </xf>
    <xf numFmtId="0" fontId="21" fillId="0" borderId="51" xfId="0" applyFont="1" applyBorder="1" applyAlignment="1">
      <alignment horizontal="center" wrapText="1"/>
    </xf>
    <xf numFmtId="0" fontId="21" fillId="0" borderId="89" xfId="0" applyFont="1" applyBorder="1" applyAlignment="1">
      <alignment horizontal="center" wrapText="1"/>
    </xf>
    <xf numFmtId="0" fontId="21" fillId="0" borderId="35" xfId="0" applyFont="1" applyBorder="1" applyAlignment="1">
      <alignment horizontal="center" wrapText="1"/>
    </xf>
    <xf numFmtId="0" fontId="21" fillId="0" borderId="90" xfId="0" applyFont="1" applyBorder="1" applyAlignment="1">
      <alignment horizontal="center" wrapText="1"/>
    </xf>
    <xf numFmtId="0" fontId="13" fillId="0" borderId="52" xfId="0" applyFont="1" applyBorder="1" applyAlignment="1">
      <alignment horizontal="left" vertical="top" wrapText="1"/>
    </xf>
    <xf numFmtId="0" fontId="0" fillId="0" borderId="50" xfId="0" applyBorder="1" applyAlignment="1">
      <alignment horizontal="left" vertical="top"/>
    </xf>
    <xf numFmtId="0" fontId="0" fillId="0" borderId="56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8" xfId="0" applyBorder="1" applyAlignment="1">
      <alignment horizontal="left" vertical="top"/>
    </xf>
    <xf numFmtId="0" fontId="0" fillId="0" borderId="69" xfId="0" applyBorder="1" applyAlignment="1">
      <alignment horizontal="left" vertical="top"/>
    </xf>
    <xf numFmtId="0" fontId="0" fillId="0" borderId="67" xfId="0" applyBorder="1" applyAlignment="1">
      <alignment horizontal="left" vertical="top"/>
    </xf>
    <xf numFmtId="0" fontId="0" fillId="0" borderId="87" xfId="0" applyBorder="1" applyAlignment="1">
      <alignment horizontal="left" vertical="top"/>
    </xf>
    <xf numFmtId="0" fontId="0" fillId="0" borderId="65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6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4" xfId="0" applyFont="1" applyBorder="1" applyAlignment="1">
      <alignment horizontal="left"/>
    </xf>
    <xf numFmtId="0" fontId="13" fillId="0" borderId="6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/>
              <a:t>POTENCIA - PAR</a:t>
            </a:r>
          </a:p>
        </c:rich>
      </c:tx>
      <c:layout>
        <c:manualLayout>
          <c:xMode val="edge"/>
          <c:yMode val="edge"/>
          <c:x val="0.41675284384694933"/>
          <c:y val="2.0338983050847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7911065149948295E-2"/>
          <c:y val="0.1271186440677966"/>
          <c:w val="0.89348500517063079"/>
          <c:h val="0.81186440677966099"/>
        </c:manualLayout>
      </c:layout>
      <c:scatterChart>
        <c:scatterStyle val="smoothMarker"/>
        <c:varyColors val="0"/>
        <c:ser>
          <c:idx val="1"/>
          <c:order val="1"/>
          <c:tx>
            <c:strRef>
              <c:f>RegistroEnsayo!$M$9</c:f>
              <c:strCache>
                <c:ptCount val="1"/>
                <c:pt idx="0">
                  <c:v>N0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elete val="1"/>
          </c:dLbls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poly"/>
            <c:order val="3"/>
            <c:forward val="25"/>
            <c:backward val="25"/>
            <c:dispRSqr val="1"/>
            <c:dispEq val="1"/>
            <c:trendlineLbl>
              <c:layout>
                <c:manualLayout>
                  <c:x val="-0.27058234059935887"/>
                  <c:y val="0.37113270163263495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AR"/>
                </a:p>
              </c:txPr>
            </c:trendlineLbl>
          </c:trendline>
          <c:xVal>
            <c:numRef>
              <c:f>RegistroEnsayo!$H$11:$H$24</c:f>
              <c:numCache>
                <c:formatCode>#,##0</c:formatCode>
                <c:ptCount val="14"/>
                <c:pt idx="0">
                  <c:v>700</c:v>
                </c:pt>
                <c:pt idx="1">
                  <c:v>900</c:v>
                </c:pt>
                <c:pt idx="2">
                  <c:v>1100</c:v>
                </c:pt>
                <c:pt idx="3">
                  <c:v>1300</c:v>
                </c:pt>
                <c:pt idx="4">
                  <c:v>1500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2300</c:v>
                </c:pt>
                <c:pt idx="9">
                  <c:v>2500</c:v>
                </c:pt>
                <c:pt idx="10">
                  <c:v>2700</c:v>
                </c:pt>
                <c:pt idx="11">
                  <c:v>2900</c:v>
                </c:pt>
                <c:pt idx="12">
                  <c:v>3000</c:v>
                </c:pt>
                <c:pt idx="13">
                  <c:v>3200</c:v>
                </c:pt>
              </c:numCache>
            </c:numRef>
          </c:xVal>
          <c:yVal>
            <c:numRef>
              <c:f>RegistroEnsayo!$M$11:$M$24</c:f>
              <c:numCache>
                <c:formatCode>0.0</c:formatCode>
                <c:ptCount val="14"/>
                <c:pt idx="0">
                  <c:v>35.683367049837287</c:v>
                </c:pt>
                <c:pt idx="1">
                  <c:v>48.633708862799317</c:v>
                </c:pt>
                <c:pt idx="2">
                  <c:v>61.628886142310606</c:v>
                </c:pt>
                <c:pt idx="3">
                  <c:v>73.8337127021463</c:v>
                </c:pt>
                <c:pt idx="4">
                  <c:v>82.786141139399476</c:v>
                </c:pt>
                <c:pt idx="5">
                  <c:v>93.481488372825368</c:v>
                </c:pt>
                <c:pt idx="6">
                  <c:v>102.33270447229299</c:v>
                </c:pt>
                <c:pt idx="7">
                  <c:v>121.95825853358059</c:v>
                </c:pt>
                <c:pt idx="8">
                  <c:v>132.53298087579745</c:v>
                </c:pt>
                <c:pt idx="9">
                  <c:v>140.25842978828459</c:v>
                </c:pt>
                <c:pt idx="10">
                  <c:v>139.20269124587847</c:v>
                </c:pt>
                <c:pt idx="11">
                  <c:v>140.63374824098997</c:v>
                </c:pt>
                <c:pt idx="12">
                  <c:v>141.62613546960074</c:v>
                </c:pt>
                <c:pt idx="13">
                  <c:v>117.91006327325505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50-45B6-A527-3600874D4B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46276816"/>
        <c:axId val="1"/>
      </c:scatterChart>
      <c:scatterChart>
        <c:scatterStyle val="lineMarker"/>
        <c:varyColors val="0"/>
        <c:ser>
          <c:idx val="0"/>
          <c:order val="0"/>
          <c:tx>
            <c:strRef>
              <c:f>RegistroEnsayo!$N$9</c:f>
              <c:strCache>
                <c:ptCount val="1"/>
                <c:pt idx="0">
                  <c:v>M0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delete val="1"/>
          </c:dLbls>
          <c:trendline>
            <c:spPr>
              <a:ln w="25400">
                <a:solidFill>
                  <a:srgbClr val="0070C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52073512527583488"/>
                  <c:y val="-0.26908883847146225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AR"/>
                </a:p>
              </c:txPr>
            </c:trendlineLbl>
          </c:trendline>
          <c:xVal>
            <c:numRef>
              <c:f>RegistroEnsayo!$H$11:$H$24</c:f>
              <c:numCache>
                <c:formatCode>#,##0</c:formatCode>
                <c:ptCount val="14"/>
                <c:pt idx="0">
                  <c:v>700</c:v>
                </c:pt>
                <c:pt idx="1">
                  <c:v>900</c:v>
                </c:pt>
                <c:pt idx="2">
                  <c:v>1100</c:v>
                </c:pt>
                <c:pt idx="3">
                  <c:v>1300</c:v>
                </c:pt>
                <c:pt idx="4">
                  <c:v>1500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2300</c:v>
                </c:pt>
                <c:pt idx="9">
                  <c:v>2500</c:v>
                </c:pt>
                <c:pt idx="10">
                  <c:v>2700</c:v>
                </c:pt>
                <c:pt idx="11">
                  <c:v>2900</c:v>
                </c:pt>
                <c:pt idx="12">
                  <c:v>3000</c:v>
                </c:pt>
                <c:pt idx="13">
                  <c:v>3200</c:v>
                </c:pt>
              </c:numCache>
            </c:numRef>
          </c:xVal>
          <c:yVal>
            <c:numRef>
              <c:f>RegistroEnsayo!$N$11:$N$24</c:f>
              <c:numCache>
                <c:formatCode>0.0</c:formatCode>
                <c:ptCount val="14"/>
                <c:pt idx="0">
                  <c:v>36.509182115847807</c:v>
                </c:pt>
                <c:pt idx="1">
                  <c:v>38.701624763929857</c:v>
                </c:pt>
                <c:pt idx="2">
                  <c:v>40.126007504657146</c:v>
                </c:pt>
                <c:pt idx="3">
                  <c:v>40.676696182520914</c:v>
                </c:pt>
                <c:pt idx="4">
                  <c:v>39.527622856025275</c:v>
                </c:pt>
                <c:pt idx="5">
                  <c:v>39.383201160363249</c:v>
                </c:pt>
                <c:pt idx="6">
                  <c:v>38.574043654240121</c:v>
                </c:pt>
                <c:pt idx="7">
                  <c:v>41.593573696071637</c:v>
                </c:pt>
                <c:pt idx="8">
                  <c:v>41.269617784020056</c:v>
                </c:pt>
                <c:pt idx="9">
                  <c:v>40.18123496574777</c:v>
                </c:pt>
                <c:pt idx="10">
                  <c:v>36.924802766777098</c:v>
                </c:pt>
                <c:pt idx="11">
                  <c:v>34.731686375930011</c:v>
                </c:pt>
                <c:pt idx="12">
                  <c:v>33.810879407776021</c:v>
                </c:pt>
                <c:pt idx="13">
                  <c:v>26.389746036345397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50-45B6-A527-3600874D4B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"/>
        <c:axId val="4"/>
      </c:scatterChart>
      <c:valAx>
        <c:axId val="546276816"/>
        <c:scaling>
          <c:orientation val="minMax"/>
          <c:min val="5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[rpm]</a:t>
                </a:r>
              </a:p>
            </c:rich>
          </c:tx>
          <c:layout>
            <c:manualLayout>
              <c:xMode val="edge"/>
              <c:yMode val="edge"/>
              <c:x val="0.86349534643226478"/>
              <c:y val="0.9508474576271186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out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"/>
        <c:crossesAt val="0"/>
        <c:crossBetween val="midCat"/>
        <c:minorUnit val="50"/>
      </c:valAx>
      <c:valAx>
        <c:axId val="1"/>
        <c:scaling>
          <c:orientation val="minMax"/>
          <c:max val="150"/>
          <c:min val="5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ysDash"/>
            </a:ln>
          </c:spPr>
        </c:majorGridlines>
        <c:title>
          <c:tx>
            <c:rich>
              <a:bodyPr rot="60000" vert="horz"/>
              <a:lstStyle/>
              <a:p>
                <a:pPr algn="ctr">
                  <a:defRPr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[cv]</a:t>
                </a:r>
              </a:p>
            </c:rich>
          </c:tx>
          <c:layout>
            <c:manualLayout>
              <c:xMode val="edge"/>
              <c:yMode val="edge"/>
              <c:x val="1.344364012409514E-2"/>
              <c:y val="5.7627118644067797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25400">
            <a:solidFill>
              <a:srgbClr val="FF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546276816"/>
        <c:crossesAt val="500"/>
        <c:crossBetween val="midCat"/>
        <c:minorUnit val="5"/>
      </c:valAx>
      <c:valAx>
        <c:axId val="3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" sourceLinked="1"/>
        <c:majorTickMark val="cross"/>
        <c:minorTickMark val="out"/>
        <c:tickLblPos val="nextTo"/>
        <c:spPr>
          <a:ln w="25400">
            <a:solidFill>
              <a:srgbClr val="0000FF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8293289146644574"/>
          <c:y val="0.79211956521739124"/>
          <c:w val="4.3910521955260969E-2"/>
          <c:h val="8.01630434782608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D16E9B-029A-4CE3-9DF7-91CF3F2CDC88}">
  <sheetPr codeName="Gráfico2"/>
  <sheetViews>
    <sheetView zoomScale="97" workbookViewId="0"/>
  </sheetViews>
  <pageMargins left="0.75" right="0.75" top="1" bottom="1" header="0" footer="0"/>
  <pageSetup paperSize="9" orientation="landscape" r:id="rId1"/>
  <headerFooter alignWithMargins="0"/>
  <drawing r:id="rId2"/>
</chartsheet>
</file>

<file path=xl/ctrlProps/ctrlProp1.xml><?xml version="1.0" encoding="utf-8"?>
<formControlPr xmlns="http://schemas.microsoft.com/office/spreadsheetml/2009/9/main" objectType="List" dx="26" fmlaLink="$T$32" fmlaRange="$AK$11:$AK$23" noThreeD="1" sel="11" val="10"/>
</file>

<file path=xl/ctrlProps/ctrlProp2.xml><?xml version="1.0" encoding="utf-8"?>
<formControlPr xmlns="http://schemas.microsoft.com/office/spreadsheetml/2009/9/main" objectType="Radio" checked="Checked" firstButton="1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GBox"/>
</file>

<file path=xl/ctrlProps/ctrlProp5.xml><?xml version="1.0" encoding="utf-8"?>
<formControlPr xmlns="http://schemas.microsoft.com/office/spreadsheetml/2009/9/main" objectType="Radio" firstButton="1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GBox"/>
</file>

<file path=xl/ctrlProps/ctrlProp8.xml><?xml version="1.0" encoding="utf-8"?>
<formControlPr xmlns="http://schemas.microsoft.com/office/spreadsheetml/2009/9/main" objectType="Radio" firstButton="1" lockText="1" noThreeD="1"/>
</file>

<file path=xl/ctrlProps/ctrlProp9.xml><?xml version="1.0" encoding="utf-8"?>
<formControlPr xmlns="http://schemas.microsoft.com/office/spreadsheetml/2009/9/main" objectType="Radio" checked="Checked" lockText="1" noThreeD="1"/>
</file>

<file path=xl/ctrlProps/ctrlProp10.xml><?xml version="1.0" encoding="utf-8"?>
<formControlPr xmlns="http://schemas.microsoft.com/office/spreadsheetml/2009/9/main" objectType="GBox"/>
</file>

<file path=xl/ctrlProps/ctrlProp11.xml><?xml version="1.0" encoding="utf-8"?>
<formControlPr xmlns="http://schemas.microsoft.com/office/spreadsheetml/2009/9/main" objectType="GBox"/>
</file>

<file path=xl/ctrlProps/ctrlProp12.xml><?xml version="1.0" encoding="utf-8"?>
<formControlPr xmlns="http://schemas.microsoft.com/office/spreadsheetml/2009/9/main" objectType="Radio" firstButton="1" lockText="1" noThreeD="1"/>
</file>

<file path=xl/ctrlProps/ctrlProp13.xml><?xml version="1.0" encoding="utf-8"?>
<formControlPr xmlns="http://schemas.microsoft.com/office/spreadsheetml/2009/9/main" objectType="Radio" checked="Checked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checked="Checked" firstButton="1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GBox"/>
</file>

<file path=xl/ctrlProps/ctrlProp20.xml><?xml version="1.0" encoding="utf-8"?>
<formControlPr xmlns="http://schemas.microsoft.com/office/spreadsheetml/2009/9/main" objectType="Radio" checked="Checked" firstButton="1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GBox"/>
</file>

<file path=xl/ctrlProps/ctrlProp23.xml><?xml version="1.0" encoding="utf-8"?>
<formControlPr xmlns="http://schemas.microsoft.com/office/spreadsheetml/2009/9/main" objectType="Radio" firstButton="1" lockText="1" noThreeD="1"/>
</file>

<file path=xl/ctrlProps/ctrlProp24.xml><?xml version="1.0" encoding="utf-8"?>
<formControlPr xmlns="http://schemas.microsoft.com/office/spreadsheetml/2009/9/main" objectType="Radio" checked="Checked" lockText="1" noThreeD="1"/>
</file>

<file path=xl/ctrlProps/ctrlProp25.xml><?xml version="1.0" encoding="utf-8"?>
<formControlPr xmlns="http://schemas.microsoft.com/office/spreadsheetml/2009/9/main" objectType="GBox"/>
</file>

<file path=xl/ctrlProps/ctrlProp26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14.emf"/><Relationship Id="rId5" Type="http://schemas.openxmlformats.org/officeDocument/2006/relationships/image" Target="../media/image8.emf"/><Relationship Id="rId10" Type="http://schemas.openxmlformats.org/officeDocument/2006/relationships/image" Target="../media/image13.emf"/><Relationship Id="rId4" Type="http://schemas.openxmlformats.org/officeDocument/2006/relationships/image" Target="../media/image7.emf"/><Relationship Id="rId9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30480</xdr:rowOff>
    </xdr:from>
    <xdr:to>
      <xdr:col>3</xdr:col>
      <xdr:colOff>512445</xdr:colOff>
      <xdr:row>2</xdr:row>
      <xdr:rowOff>152400</xdr:rowOff>
    </xdr:to>
    <xdr:pic>
      <xdr:nvPicPr>
        <xdr:cNvPr id="3147" name="3 Imagen" descr="Autito-v1.0.jpg">
          <a:extLst>
            <a:ext uri="{FF2B5EF4-FFF2-40B4-BE49-F238E27FC236}">
              <a16:creationId xmlns:a16="http://schemas.microsoft.com/office/drawing/2014/main" id="{F87EC449-10A9-3EDB-4958-16AF42E6E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30480"/>
          <a:ext cx="24460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2</xdr:row>
          <xdr:rowOff>76200</xdr:rowOff>
        </xdr:from>
        <xdr:to>
          <xdr:col>8</xdr:col>
          <xdr:colOff>541020</xdr:colOff>
          <xdr:row>4</xdr:row>
          <xdr:rowOff>91440</xdr:rowOff>
        </xdr:to>
        <xdr:grpSp>
          <xdr:nvGrpSpPr>
            <xdr:cNvPr id="3113" name="Group 41">
              <a:extLst>
                <a:ext uri="{FF2B5EF4-FFF2-40B4-BE49-F238E27FC236}">
                  <a16:creationId xmlns:a16="http://schemas.microsoft.com/office/drawing/2014/main" id="{02C0BB84-7F24-033B-55D7-4190D74671F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10150" y="552450"/>
              <a:ext cx="1019175" cy="495300"/>
              <a:chOff x="529" y="60"/>
              <a:chExt cx="118" cy="52"/>
            </a:xfrm>
          </xdr:grpSpPr>
          <xdr:sp macro="" textlink="">
            <xdr:nvSpPr>
              <xdr:cNvPr id="3076" name="Option Button 4" hidden="1">
                <a:extLst>
                  <a:ext uri="{63B3BB69-23CF-44E3-9099-C40C66FF867C}">
                    <a14:compatExt spid="_x0000_s3076"/>
                  </a:ext>
                  <a:ext uri="{FF2B5EF4-FFF2-40B4-BE49-F238E27FC236}">
                    <a16:creationId xmlns:a16="http://schemas.microsoft.com/office/drawing/2014/main" id="{00000000-0008-0000-0000-0000040C0000}"/>
                  </a:ext>
                </a:extLst>
              </xdr:cNvPr>
              <xdr:cNvSpPr/>
            </xdr:nvSpPr>
            <xdr:spPr bwMode="auto">
              <a:xfrm>
                <a:off x="565" y="71"/>
                <a:ext cx="59" cy="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1587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Otto</a:t>
                </a:r>
              </a:p>
            </xdr:txBody>
          </xdr:sp>
          <xdr:sp macro="" textlink="">
            <xdr:nvSpPr>
              <xdr:cNvPr id="3077" name="Option Button 5" hidden="1">
                <a:extLst>
                  <a:ext uri="{63B3BB69-23CF-44E3-9099-C40C66FF867C}">
                    <a14:compatExt spid="_x0000_s3077"/>
                  </a:ext>
                  <a:ext uri="{FF2B5EF4-FFF2-40B4-BE49-F238E27FC236}">
                    <a16:creationId xmlns:a16="http://schemas.microsoft.com/office/drawing/2014/main" id="{00000000-0008-0000-0000-0000050C0000}"/>
                  </a:ext>
                </a:extLst>
              </xdr:cNvPr>
              <xdr:cNvSpPr/>
            </xdr:nvSpPr>
            <xdr:spPr bwMode="auto">
              <a:xfrm>
                <a:off x="565" y="89"/>
                <a:ext cx="50" cy="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1587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Diesel</a:t>
                </a:r>
              </a:p>
            </xdr:txBody>
          </xdr:sp>
          <xdr:sp macro="" textlink="">
            <xdr:nvSpPr>
              <xdr:cNvPr id="3085" name="Group Box 13" hidden="1">
                <a:extLst>
                  <a:ext uri="{63B3BB69-23CF-44E3-9099-C40C66FF867C}">
                    <a14:compatExt spid="_x0000_s3085"/>
                  </a:ext>
                  <a:ext uri="{FF2B5EF4-FFF2-40B4-BE49-F238E27FC236}">
                    <a16:creationId xmlns:a16="http://schemas.microsoft.com/office/drawing/2014/main" id="{00000000-0008-0000-0000-00000D0C0000}"/>
                  </a:ext>
                </a:extLst>
              </xdr:cNvPr>
              <xdr:cNvSpPr/>
            </xdr:nvSpPr>
            <xdr:spPr bwMode="auto">
              <a:xfrm>
                <a:off x="529" y="60"/>
                <a:ext cx="118" cy="52"/>
              </a:xfrm>
              <a:prstGeom prst="rect">
                <a:avLst/>
              </a:prstGeom>
              <a:noFill/>
              <a:ln w="1587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Motor Ciclo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236220</xdr:colOff>
          <xdr:row>2</xdr:row>
          <xdr:rowOff>91440</xdr:rowOff>
        </xdr:from>
        <xdr:to>
          <xdr:col>11</xdr:col>
          <xdr:colOff>350520</xdr:colOff>
          <xdr:row>4</xdr:row>
          <xdr:rowOff>83820</xdr:rowOff>
        </xdr:to>
        <xdr:grpSp>
          <xdr:nvGrpSpPr>
            <xdr:cNvPr id="3112" name="Group 40">
              <a:extLst>
                <a:ext uri="{FF2B5EF4-FFF2-40B4-BE49-F238E27FC236}">
                  <a16:creationId xmlns:a16="http://schemas.microsoft.com/office/drawing/2014/main" id="{07A94031-47E9-F794-B9B9-F8DA4CAD612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15100" y="571500"/>
              <a:ext cx="1238250" cy="466725"/>
              <a:chOff x="690" y="62"/>
              <a:chExt cx="130" cy="49"/>
            </a:xfrm>
          </xdr:grpSpPr>
          <xdr:sp macro="" textlink="">
            <xdr:nvSpPr>
              <xdr:cNvPr id="3088" name="Option Button 16" hidden="1">
                <a:extLst>
                  <a:ext uri="{63B3BB69-23CF-44E3-9099-C40C66FF867C}">
                    <a14:compatExt spid="_x0000_s3088"/>
                  </a:ext>
                  <a:ext uri="{FF2B5EF4-FFF2-40B4-BE49-F238E27FC236}">
                    <a16:creationId xmlns:a16="http://schemas.microsoft.com/office/drawing/2014/main" id="{00000000-0008-0000-0000-0000100C0000}"/>
                  </a:ext>
                </a:extLst>
              </xdr:cNvPr>
              <xdr:cNvSpPr/>
            </xdr:nvSpPr>
            <xdr:spPr bwMode="auto">
              <a:xfrm>
                <a:off x="718" y="68"/>
                <a:ext cx="87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Conectado</a:t>
                </a:r>
              </a:p>
            </xdr:txBody>
          </xdr:sp>
          <xdr:sp macro="" textlink="">
            <xdr:nvSpPr>
              <xdr:cNvPr id="3089" name="Option Button 17" hidden="1">
                <a:extLst>
                  <a:ext uri="{63B3BB69-23CF-44E3-9099-C40C66FF867C}">
                    <a14:compatExt spid="_x0000_s3089"/>
                  </a:ext>
                  <a:ext uri="{FF2B5EF4-FFF2-40B4-BE49-F238E27FC236}">
                    <a16:creationId xmlns:a16="http://schemas.microsoft.com/office/drawing/2014/main" id="{00000000-0008-0000-0000-0000110C0000}"/>
                  </a:ext>
                </a:extLst>
              </xdr:cNvPr>
              <xdr:cNvSpPr/>
            </xdr:nvSpPr>
            <xdr:spPr bwMode="auto">
              <a:xfrm>
                <a:off x="718" y="88"/>
                <a:ext cx="89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Desconectadol</a:t>
                </a:r>
              </a:p>
            </xdr:txBody>
          </xdr:sp>
          <xdr:sp macro="" textlink="">
            <xdr:nvSpPr>
              <xdr:cNvPr id="3090" name="Group Box 18" hidden="1">
                <a:extLst>
                  <a:ext uri="{63B3BB69-23CF-44E3-9099-C40C66FF867C}">
                    <a14:compatExt spid="_x0000_s3090"/>
                  </a:ext>
                  <a:ext uri="{FF2B5EF4-FFF2-40B4-BE49-F238E27FC236}">
                    <a16:creationId xmlns:a16="http://schemas.microsoft.com/office/drawing/2014/main" id="{00000000-0008-0000-0000-0000120C0000}"/>
                  </a:ext>
                </a:extLst>
              </xdr:cNvPr>
              <xdr:cNvSpPr/>
            </xdr:nvSpPr>
            <xdr:spPr bwMode="auto">
              <a:xfrm>
                <a:off x="690" y="62"/>
                <a:ext cx="130" cy="4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Alternador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220980</xdr:colOff>
          <xdr:row>2</xdr:row>
          <xdr:rowOff>91440</xdr:rowOff>
        </xdr:from>
        <xdr:to>
          <xdr:col>14</xdr:col>
          <xdr:colOff>266700</xdr:colOff>
          <xdr:row>4</xdr:row>
          <xdr:rowOff>83820</xdr:rowOff>
        </xdr:to>
        <xdr:grpSp>
          <xdr:nvGrpSpPr>
            <xdr:cNvPr id="3111" name="Group 39">
              <a:extLst>
                <a:ext uri="{FF2B5EF4-FFF2-40B4-BE49-F238E27FC236}">
                  <a16:creationId xmlns:a16="http://schemas.microsoft.com/office/drawing/2014/main" id="{F9E18645-B109-B824-9F88-43F09447816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286750" y="571500"/>
              <a:ext cx="1228725" cy="466725"/>
              <a:chOff x="873" y="62"/>
              <a:chExt cx="130" cy="49"/>
            </a:xfrm>
          </xdr:grpSpPr>
          <xdr:sp macro="" textlink="">
            <xdr:nvSpPr>
              <xdr:cNvPr id="3091" name="Option Button 19" hidden="1">
                <a:extLst>
                  <a:ext uri="{63B3BB69-23CF-44E3-9099-C40C66FF867C}">
                    <a14:compatExt spid="_x0000_s3091"/>
                  </a:ext>
                  <a:ext uri="{FF2B5EF4-FFF2-40B4-BE49-F238E27FC236}">
                    <a16:creationId xmlns:a16="http://schemas.microsoft.com/office/drawing/2014/main" id="{00000000-0008-0000-0000-0000130C0000}"/>
                  </a:ext>
                </a:extLst>
              </xdr:cNvPr>
              <xdr:cNvSpPr/>
            </xdr:nvSpPr>
            <xdr:spPr bwMode="auto">
              <a:xfrm>
                <a:off x="886" y="77"/>
                <a:ext cx="47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SI</a:t>
                </a:r>
              </a:p>
            </xdr:txBody>
          </xdr:sp>
          <xdr:sp macro="" textlink="">
            <xdr:nvSpPr>
              <xdr:cNvPr id="3092" name="Option Button 20" hidden="1">
                <a:extLst>
                  <a:ext uri="{63B3BB69-23CF-44E3-9099-C40C66FF867C}">
                    <a14:compatExt spid="_x0000_s3092"/>
                  </a:ext>
                  <a:ext uri="{FF2B5EF4-FFF2-40B4-BE49-F238E27FC236}">
                    <a16:creationId xmlns:a16="http://schemas.microsoft.com/office/drawing/2014/main" id="{00000000-0008-0000-0000-0000140C0000}"/>
                  </a:ext>
                </a:extLst>
              </xdr:cNvPr>
              <xdr:cNvSpPr/>
            </xdr:nvSpPr>
            <xdr:spPr bwMode="auto">
              <a:xfrm>
                <a:off x="950" y="77"/>
                <a:ext cx="46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NO</a:t>
                </a:r>
              </a:p>
            </xdr:txBody>
          </xdr:sp>
          <xdr:sp macro="" textlink="">
            <xdr:nvSpPr>
              <xdr:cNvPr id="3093" name="Group Box 21" hidden="1">
                <a:extLst>
                  <a:ext uri="{63B3BB69-23CF-44E3-9099-C40C66FF867C}">
                    <a14:compatExt spid="_x0000_s3093"/>
                  </a:ext>
                  <a:ext uri="{FF2B5EF4-FFF2-40B4-BE49-F238E27FC236}">
                    <a16:creationId xmlns:a16="http://schemas.microsoft.com/office/drawing/2014/main" id="{00000000-0008-0000-0000-0000150C0000}"/>
                  </a:ext>
                </a:extLst>
              </xdr:cNvPr>
              <xdr:cNvSpPr/>
            </xdr:nvSpPr>
            <xdr:spPr bwMode="auto">
              <a:xfrm>
                <a:off x="873" y="62"/>
                <a:ext cx="130" cy="4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Compresor accionado: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144780</xdr:colOff>
          <xdr:row>0</xdr:row>
          <xdr:rowOff>68580</xdr:rowOff>
        </xdr:from>
        <xdr:to>
          <xdr:col>17</xdr:col>
          <xdr:colOff>251460</xdr:colOff>
          <xdr:row>4</xdr:row>
          <xdr:rowOff>121920</xdr:rowOff>
        </xdr:to>
        <xdr:grpSp>
          <xdr:nvGrpSpPr>
            <xdr:cNvPr id="3110" name="Group 38">
              <a:extLst>
                <a:ext uri="{FF2B5EF4-FFF2-40B4-BE49-F238E27FC236}">
                  <a16:creationId xmlns:a16="http://schemas.microsoft.com/office/drawing/2014/main" id="{5DAF30DE-0946-2CC6-3EA0-0CC7073552E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963150" y="66675"/>
              <a:ext cx="1333500" cy="1009650"/>
              <a:chOff x="1047" y="9"/>
              <a:chExt cx="139" cy="107"/>
            </a:xfrm>
          </xdr:grpSpPr>
          <xdr:sp macro="" textlink="">
            <xdr:nvSpPr>
              <xdr:cNvPr id="3102" name="Group Box 30" hidden="1">
                <a:extLst>
                  <a:ext uri="{63B3BB69-23CF-44E3-9099-C40C66FF867C}">
                    <a14:compatExt spid="_x0000_s3102"/>
                  </a:ext>
                  <a:ext uri="{FF2B5EF4-FFF2-40B4-BE49-F238E27FC236}">
                    <a16:creationId xmlns:a16="http://schemas.microsoft.com/office/drawing/2014/main" id="{00000000-0008-0000-0000-00001E0C0000}"/>
                  </a:ext>
                </a:extLst>
              </xdr:cNvPr>
              <xdr:cNvSpPr/>
            </xdr:nvSpPr>
            <xdr:spPr bwMode="auto">
              <a:xfrm>
                <a:off x="1047" y="9"/>
                <a:ext cx="139" cy="107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Ensayo Bajo Norma:</a:t>
                </a:r>
              </a:p>
            </xdr:txBody>
          </xdr:sp>
          <xdr:sp macro="" textlink="">
            <xdr:nvSpPr>
              <xdr:cNvPr id="3104" name="Option Button 32" hidden="1">
                <a:extLst>
                  <a:ext uri="{63B3BB69-23CF-44E3-9099-C40C66FF867C}">
                    <a14:compatExt spid="_x0000_s3104"/>
                  </a:ext>
                  <a:ext uri="{FF2B5EF4-FFF2-40B4-BE49-F238E27FC236}">
                    <a16:creationId xmlns:a16="http://schemas.microsoft.com/office/drawing/2014/main" id="{00000000-0008-0000-0000-0000200C0000}"/>
                  </a:ext>
                </a:extLst>
              </xdr:cNvPr>
              <xdr:cNvSpPr/>
            </xdr:nvSpPr>
            <xdr:spPr bwMode="auto">
              <a:xfrm>
                <a:off x="1052" y="20"/>
                <a:ext cx="96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SAE J 1349</a:t>
                </a:r>
              </a:p>
            </xdr:txBody>
          </xdr:sp>
          <xdr:sp macro="" textlink="">
            <xdr:nvSpPr>
              <xdr:cNvPr id="3105" name="Option Button 33" hidden="1">
                <a:extLst>
                  <a:ext uri="{63B3BB69-23CF-44E3-9099-C40C66FF867C}">
                    <a14:compatExt spid="_x0000_s3105"/>
                  </a:ext>
                  <a:ext uri="{FF2B5EF4-FFF2-40B4-BE49-F238E27FC236}">
                    <a16:creationId xmlns:a16="http://schemas.microsoft.com/office/drawing/2014/main" id="{00000000-0008-0000-0000-0000210C0000}"/>
                  </a:ext>
                </a:extLst>
              </xdr:cNvPr>
              <xdr:cNvSpPr/>
            </xdr:nvSpPr>
            <xdr:spPr bwMode="auto">
              <a:xfrm>
                <a:off x="1052" y="37"/>
                <a:ext cx="103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IRAM-AITA 3.1</a:t>
                </a:r>
              </a:p>
            </xdr:txBody>
          </xdr:sp>
          <xdr:sp macro="" textlink="">
            <xdr:nvSpPr>
              <xdr:cNvPr id="3106" name="Option Button 34" hidden="1">
                <a:extLst>
                  <a:ext uri="{63B3BB69-23CF-44E3-9099-C40C66FF867C}">
                    <a14:compatExt spid="_x0000_s3106"/>
                  </a:ext>
                  <a:ext uri="{FF2B5EF4-FFF2-40B4-BE49-F238E27FC236}">
                    <a16:creationId xmlns:a16="http://schemas.microsoft.com/office/drawing/2014/main" id="{00000000-0008-0000-0000-0000220C0000}"/>
                  </a:ext>
                </a:extLst>
              </xdr:cNvPr>
              <xdr:cNvSpPr/>
            </xdr:nvSpPr>
            <xdr:spPr bwMode="auto">
              <a:xfrm>
                <a:off x="1052" y="54"/>
                <a:ext cx="127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ISO 1585 e ISO 3046</a:t>
                </a:r>
              </a:p>
            </xdr:txBody>
          </xdr:sp>
          <xdr:sp macro="" textlink="">
            <xdr:nvSpPr>
              <xdr:cNvPr id="3107" name="Option Button 35" hidden="1">
                <a:extLst>
                  <a:ext uri="{63B3BB69-23CF-44E3-9099-C40C66FF867C}">
                    <a14:compatExt spid="_x0000_s3107"/>
                  </a:ext>
                  <a:ext uri="{FF2B5EF4-FFF2-40B4-BE49-F238E27FC236}">
                    <a16:creationId xmlns:a16="http://schemas.microsoft.com/office/drawing/2014/main" id="{00000000-0008-0000-0000-0000230C0000}"/>
                  </a:ext>
                </a:extLst>
              </xdr:cNvPr>
              <xdr:cNvSpPr/>
            </xdr:nvSpPr>
            <xdr:spPr bwMode="auto">
              <a:xfrm>
                <a:off x="1052" y="89"/>
                <a:ext cx="124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DIN 70020</a:t>
                </a:r>
              </a:p>
            </xdr:txBody>
          </xdr:sp>
          <xdr:sp macro="" textlink="">
            <xdr:nvSpPr>
              <xdr:cNvPr id="3108" name="Option Button 36" hidden="1">
                <a:extLst>
                  <a:ext uri="{63B3BB69-23CF-44E3-9099-C40C66FF867C}">
                    <a14:compatExt spid="_x0000_s3108"/>
                  </a:ext>
                  <a:ext uri="{FF2B5EF4-FFF2-40B4-BE49-F238E27FC236}">
                    <a16:creationId xmlns:a16="http://schemas.microsoft.com/office/drawing/2014/main" id="{00000000-0008-0000-0000-0000240C0000}"/>
                  </a:ext>
                </a:extLst>
              </xdr:cNvPr>
              <xdr:cNvSpPr/>
            </xdr:nvSpPr>
            <xdr:spPr bwMode="auto">
              <a:xfrm>
                <a:off x="1052" y="72"/>
                <a:ext cx="76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ISO 2535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480060</xdr:colOff>
          <xdr:row>30</xdr:row>
          <xdr:rowOff>99060</xdr:rowOff>
        </xdr:from>
        <xdr:to>
          <xdr:col>3</xdr:col>
          <xdr:colOff>548640</xdr:colOff>
          <xdr:row>33</xdr:row>
          <xdr:rowOff>38100</xdr:rowOff>
        </xdr:to>
        <xdr:grpSp>
          <xdr:nvGrpSpPr>
            <xdr:cNvPr id="3130" name="Group 58">
              <a:extLst>
                <a:ext uri="{FF2B5EF4-FFF2-40B4-BE49-F238E27FC236}">
                  <a16:creationId xmlns:a16="http://schemas.microsoft.com/office/drawing/2014/main" id="{2C0FF598-04E0-A6D0-8DC1-CF7ACAFBB8B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733550" y="6343650"/>
              <a:ext cx="809625" cy="638175"/>
              <a:chOff x="215" y="818"/>
              <a:chExt cx="86" cy="57"/>
            </a:xfrm>
          </xdr:grpSpPr>
          <xdr:sp macro="" textlink="">
            <xdr:nvSpPr>
              <xdr:cNvPr id="3115" name="Option Button 43" hidden="1">
                <a:extLst>
                  <a:ext uri="{63B3BB69-23CF-44E3-9099-C40C66FF867C}">
                    <a14:compatExt spid="_x0000_s3115"/>
                  </a:ext>
                  <a:ext uri="{FF2B5EF4-FFF2-40B4-BE49-F238E27FC236}">
                    <a16:creationId xmlns:a16="http://schemas.microsoft.com/office/drawing/2014/main" id="{00000000-0008-0000-0000-00002B0C0000}"/>
                  </a:ext>
                </a:extLst>
              </xdr:cNvPr>
              <xdr:cNvSpPr/>
            </xdr:nvSpPr>
            <xdr:spPr bwMode="auto">
              <a:xfrm>
                <a:off x="229" y="830"/>
                <a:ext cx="59" cy="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1587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Natural</a:t>
                </a:r>
              </a:p>
            </xdr:txBody>
          </xdr:sp>
          <xdr:sp macro="" textlink="">
            <xdr:nvSpPr>
              <xdr:cNvPr id="3116" name="Option Button 44" hidden="1">
                <a:extLst>
                  <a:ext uri="{63B3BB69-23CF-44E3-9099-C40C66FF867C}">
                    <a14:compatExt spid="_x0000_s3116"/>
                  </a:ext>
                  <a:ext uri="{FF2B5EF4-FFF2-40B4-BE49-F238E27FC236}">
                    <a16:creationId xmlns:a16="http://schemas.microsoft.com/office/drawing/2014/main" id="{00000000-0008-0000-0000-00002C0C0000}"/>
                  </a:ext>
                </a:extLst>
              </xdr:cNvPr>
              <xdr:cNvSpPr/>
            </xdr:nvSpPr>
            <xdr:spPr bwMode="auto">
              <a:xfrm>
                <a:off x="229" y="848"/>
                <a:ext cx="67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1587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Forzada</a:t>
                </a:r>
              </a:p>
            </xdr:txBody>
          </xdr:sp>
          <xdr:sp macro="" textlink="">
            <xdr:nvSpPr>
              <xdr:cNvPr id="3117" name="Group Box 45" hidden="1">
                <a:extLst>
                  <a:ext uri="{63B3BB69-23CF-44E3-9099-C40C66FF867C}">
                    <a14:compatExt spid="_x0000_s3117"/>
                  </a:ext>
                  <a:ext uri="{FF2B5EF4-FFF2-40B4-BE49-F238E27FC236}">
                    <a16:creationId xmlns:a16="http://schemas.microsoft.com/office/drawing/2014/main" id="{00000000-0008-0000-0000-00002D0C0000}"/>
                  </a:ext>
                </a:extLst>
              </xdr:cNvPr>
              <xdr:cNvSpPr/>
            </xdr:nvSpPr>
            <xdr:spPr bwMode="auto">
              <a:xfrm>
                <a:off x="215" y="818"/>
                <a:ext cx="86" cy="57"/>
              </a:xfrm>
              <a:prstGeom prst="rect">
                <a:avLst/>
              </a:prstGeom>
              <a:noFill/>
              <a:ln w="1587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Aspiración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289560</xdr:colOff>
          <xdr:row>30</xdr:row>
          <xdr:rowOff>99060</xdr:rowOff>
        </xdr:from>
        <xdr:to>
          <xdr:col>2</xdr:col>
          <xdr:colOff>434340</xdr:colOff>
          <xdr:row>33</xdr:row>
          <xdr:rowOff>38100</xdr:rowOff>
        </xdr:to>
        <xdr:grpSp>
          <xdr:nvGrpSpPr>
            <xdr:cNvPr id="3129" name="Group 57">
              <a:extLst>
                <a:ext uri="{FF2B5EF4-FFF2-40B4-BE49-F238E27FC236}">
                  <a16:creationId xmlns:a16="http://schemas.microsoft.com/office/drawing/2014/main" id="{C8385D66-19CB-1DEC-19C7-E0F35B22819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38200" y="6343650"/>
              <a:ext cx="857250" cy="638175"/>
              <a:chOff x="325" y="818"/>
              <a:chExt cx="93" cy="57"/>
            </a:xfrm>
          </xdr:grpSpPr>
          <xdr:sp macro="" textlink="">
            <xdr:nvSpPr>
              <xdr:cNvPr id="3118" name="Option Button 46" hidden="1">
                <a:extLst>
                  <a:ext uri="{63B3BB69-23CF-44E3-9099-C40C66FF867C}">
                    <a14:compatExt spid="_x0000_s3118"/>
                  </a:ext>
                  <a:ext uri="{FF2B5EF4-FFF2-40B4-BE49-F238E27FC236}">
                    <a16:creationId xmlns:a16="http://schemas.microsoft.com/office/drawing/2014/main" id="{00000000-0008-0000-0000-00002E0C0000}"/>
                  </a:ext>
                </a:extLst>
              </xdr:cNvPr>
              <xdr:cNvSpPr/>
            </xdr:nvSpPr>
            <xdr:spPr bwMode="auto">
              <a:xfrm>
                <a:off x="344" y="830"/>
                <a:ext cx="59" cy="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1587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Agua</a:t>
                </a:r>
              </a:p>
            </xdr:txBody>
          </xdr:sp>
          <xdr:sp macro="" textlink="">
            <xdr:nvSpPr>
              <xdr:cNvPr id="3119" name="Option Button 47" hidden="1">
                <a:extLst>
                  <a:ext uri="{63B3BB69-23CF-44E3-9099-C40C66FF867C}">
                    <a14:compatExt spid="_x0000_s3119"/>
                  </a:ext>
                  <a:ext uri="{FF2B5EF4-FFF2-40B4-BE49-F238E27FC236}">
                    <a16:creationId xmlns:a16="http://schemas.microsoft.com/office/drawing/2014/main" id="{00000000-0008-0000-0000-00002F0C0000}"/>
                  </a:ext>
                </a:extLst>
              </xdr:cNvPr>
              <xdr:cNvSpPr/>
            </xdr:nvSpPr>
            <xdr:spPr bwMode="auto">
              <a:xfrm>
                <a:off x="344" y="848"/>
                <a:ext cx="61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1587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Aire</a:t>
                </a:r>
              </a:p>
            </xdr:txBody>
          </xdr:sp>
          <xdr:sp macro="" textlink="">
            <xdr:nvSpPr>
              <xdr:cNvPr id="3120" name="Group Box 48" hidden="1">
                <a:extLst>
                  <a:ext uri="{63B3BB69-23CF-44E3-9099-C40C66FF867C}">
                    <a14:compatExt spid="_x0000_s3120"/>
                  </a:ext>
                  <a:ext uri="{FF2B5EF4-FFF2-40B4-BE49-F238E27FC236}">
                    <a16:creationId xmlns:a16="http://schemas.microsoft.com/office/drawing/2014/main" id="{00000000-0008-0000-0000-0000300C0000}"/>
                  </a:ext>
                </a:extLst>
              </xdr:cNvPr>
              <xdr:cNvSpPr/>
            </xdr:nvSpPr>
            <xdr:spPr bwMode="auto">
              <a:xfrm>
                <a:off x="325" y="818"/>
                <a:ext cx="93" cy="57"/>
              </a:xfrm>
              <a:prstGeom prst="rect">
                <a:avLst/>
              </a:prstGeom>
              <a:noFill/>
              <a:ln w="1587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Refrigeración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30480</xdr:colOff>
          <xdr:row>30</xdr:row>
          <xdr:rowOff>91440</xdr:rowOff>
        </xdr:from>
        <xdr:to>
          <xdr:col>1</xdr:col>
          <xdr:colOff>251460</xdr:colOff>
          <xdr:row>34</xdr:row>
          <xdr:rowOff>38100</xdr:rowOff>
        </xdr:to>
        <xdr:grpSp>
          <xdr:nvGrpSpPr>
            <xdr:cNvPr id="3128" name="Group 56">
              <a:extLst>
                <a:ext uri="{FF2B5EF4-FFF2-40B4-BE49-F238E27FC236}">
                  <a16:creationId xmlns:a16="http://schemas.microsoft.com/office/drawing/2014/main" id="{F82BE80F-7B2C-BEDB-CABC-BB26827F6D5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8575" y="6343650"/>
              <a:ext cx="771525" cy="819150"/>
              <a:chOff x="451" y="816"/>
              <a:chExt cx="93" cy="78"/>
            </a:xfrm>
          </xdr:grpSpPr>
          <xdr:sp macro="" textlink="">
            <xdr:nvSpPr>
              <xdr:cNvPr id="3124" name="Option Button 52" hidden="1">
                <a:extLst>
                  <a:ext uri="{63B3BB69-23CF-44E3-9099-C40C66FF867C}">
                    <a14:compatExt spid="_x0000_s3124"/>
                  </a:ext>
                  <a:ext uri="{FF2B5EF4-FFF2-40B4-BE49-F238E27FC236}">
                    <a16:creationId xmlns:a16="http://schemas.microsoft.com/office/drawing/2014/main" id="{00000000-0008-0000-0000-0000340C0000}"/>
                  </a:ext>
                </a:extLst>
              </xdr:cNvPr>
              <xdr:cNvSpPr/>
            </xdr:nvSpPr>
            <xdr:spPr bwMode="auto">
              <a:xfrm>
                <a:off x="470" y="828"/>
                <a:ext cx="59" cy="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1587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GNC</a:t>
                </a:r>
              </a:p>
            </xdr:txBody>
          </xdr:sp>
          <xdr:sp macro="" textlink="">
            <xdr:nvSpPr>
              <xdr:cNvPr id="3125" name="Option Button 53" hidden="1">
                <a:extLst>
                  <a:ext uri="{63B3BB69-23CF-44E3-9099-C40C66FF867C}">
                    <a14:compatExt spid="_x0000_s3125"/>
                  </a:ext>
                  <a:ext uri="{FF2B5EF4-FFF2-40B4-BE49-F238E27FC236}">
                    <a16:creationId xmlns:a16="http://schemas.microsoft.com/office/drawing/2014/main" id="{00000000-0008-0000-0000-0000350C0000}"/>
                  </a:ext>
                </a:extLst>
              </xdr:cNvPr>
              <xdr:cNvSpPr/>
            </xdr:nvSpPr>
            <xdr:spPr bwMode="auto">
              <a:xfrm>
                <a:off x="470" y="846"/>
                <a:ext cx="63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1587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Nafta</a:t>
                </a:r>
              </a:p>
            </xdr:txBody>
          </xdr:sp>
          <xdr:sp macro="" textlink="">
            <xdr:nvSpPr>
              <xdr:cNvPr id="3126" name="Group Box 54" hidden="1">
                <a:extLst>
                  <a:ext uri="{63B3BB69-23CF-44E3-9099-C40C66FF867C}">
                    <a14:compatExt spid="_x0000_s3126"/>
                  </a:ext>
                  <a:ext uri="{FF2B5EF4-FFF2-40B4-BE49-F238E27FC236}">
                    <a16:creationId xmlns:a16="http://schemas.microsoft.com/office/drawing/2014/main" id="{00000000-0008-0000-0000-0000360C0000}"/>
                  </a:ext>
                </a:extLst>
              </xdr:cNvPr>
              <xdr:cNvSpPr/>
            </xdr:nvSpPr>
            <xdr:spPr bwMode="auto">
              <a:xfrm>
                <a:off x="451" y="816"/>
                <a:ext cx="93" cy="78"/>
              </a:xfrm>
              <a:prstGeom prst="rect">
                <a:avLst/>
              </a:prstGeom>
              <a:noFill/>
              <a:ln w="1587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Combustible</a:t>
                </a:r>
              </a:p>
            </xdr:txBody>
          </xdr:sp>
          <xdr:sp macro="" textlink="">
            <xdr:nvSpPr>
              <xdr:cNvPr id="3127" name="Option Button 55" hidden="1">
                <a:extLst>
                  <a:ext uri="{63B3BB69-23CF-44E3-9099-C40C66FF867C}">
                    <a14:compatExt spid="_x0000_s3127"/>
                  </a:ext>
                  <a:ext uri="{FF2B5EF4-FFF2-40B4-BE49-F238E27FC236}">
                    <a16:creationId xmlns:a16="http://schemas.microsoft.com/office/drawing/2014/main" id="{00000000-0008-0000-0000-0000370C0000}"/>
                  </a:ext>
                </a:extLst>
              </xdr:cNvPr>
              <xdr:cNvSpPr/>
            </xdr:nvSpPr>
            <xdr:spPr bwMode="auto">
              <a:xfrm>
                <a:off x="470" y="866"/>
                <a:ext cx="59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1587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Gasoil</a:t>
                </a:r>
              </a:p>
            </xdr:txBody>
          </xdr:sp>
        </xdr:grpSp>
        <xdr:clientData/>
      </xdr:twoCellAnchor>
    </mc:Choice>
    <mc:Fallback/>
  </mc:AlternateContent>
  <xdr:twoCellAnchor editAs="oneCell">
    <xdr:from>
      <xdr:col>26</xdr:col>
      <xdr:colOff>123825</xdr:colOff>
      <xdr:row>0</xdr:row>
      <xdr:rowOff>0</xdr:rowOff>
    </xdr:from>
    <xdr:to>
      <xdr:col>30</xdr:col>
      <xdr:colOff>172085</xdr:colOff>
      <xdr:row>1</xdr:row>
      <xdr:rowOff>212818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BC6633A8-07E2-D07C-B36B-B1B385AEA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192500" y="0"/>
          <a:ext cx="2696210" cy="450943"/>
        </a:xfrm>
        <a:prstGeom prst="rect">
          <a:avLst/>
        </a:prstGeom>
      </xdr:spPr>
    </xdr:pic>
    <xdr:clientData/>
  </xdr:twoCellAnchor>
  <xdr:twoCellAnchor editAs="oneCell">
    <xdr:from>
      <xdr:col>32</xdr:col>
      <xdr:colOff>209550</xdr:colOff>
      <xdr:row>0</xdr:row>
      <xdr:rowOff>0</xdr:rowOff>
    </xdr:from>
    <xdr:to>
      <xdr:col>34</xdr:col>
      <xdr:colOff>398145</xdr:colOff>
      <xdr:row>5</xdr:row>
      <xdr:rowOff>341094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2C1E38-18DE-63C3-AE26-5E5937E33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050125" y="0"/>
          <a:ext cx="1535430" cy="153171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31</xdr:row>
          <xdr:rowOff>38100</xdr:rowOff>
        </xdr:from>
        <xdr:to>
          <xdr:col>21</xdr:col>
          <xdr:colOff>434340</xdr:colOff>
          <xdr:row>32</xdr:row>
          <xdr:rowOff>243840</xdr:rowOff>
        </xdr:to>
        <xdr:sp macro="" textlink="">
          <xdr:nvSpPr>
            <xdr:cNvPr id="3169" name="List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0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1498737" cy="701118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B82389-D01A-D6DF-323E-92AAE5C4E0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0.942</cdr:x>
      <cdr:y>0.06575</cdr:y>
    </cdr:from>
    <cdr:to>
      <cdr:x>0.99775</cdr:x>
      <cdr:y>0.10425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64943" y="372308"/>
          <a:ext cx="525008" cy="2191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s-ES" sz="1100" b="1" i="0" strike="noStrike">
              <a:solidFill>
                <a:srgbClr val="0000FF"/>
              </a:solidFill>
              <a:latin typeface="Arial"/>
              <a:cs typeface="Arial"/>
            </a:rPr>
            <a:t>[kgm]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1</xdr:row>
          <xdr:rowOff>76200</xdr:rowOff>
        </xdr:from>
        <xdr:to>
          <xdr:col>3</xdr:col>
          <xdr:colOff>868680</xdr:colOff>
          <xdr:row>1</xdr:row>
          <xdr:rowOff>373380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</xdr:row>
          <xdr:rowOff>76200</xdr:rowOff>
        </xdr:from>
        <xdr:to>
          <xdr:col>3</xdr:col>
          <xdr:colOff>1112520</xdr:colOff>
          <xdr:row>2</xdr:row>
          <xdr:rowOff>388620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3</xdr:row>
          <xdr:rowOff>91440</xdr:rowOff>
        </xdr:from>
        <xdr:to>
          <xdr:col>3</xdr:col>
          <xdr:colOff>1005840</xdr:colOff>
          <xdr:row>3</xdr:row>
          <xdr:rowOff>396240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4</xdr:row>
          <xdr:rowOff>144780</xdr:rowOff>
        </xdr:from>
        <xdr:to>
          <xdr:col>3</xdr:col>
          <xdr:colOff>914400</xdr:colOff>
          <xdr:row>4</xdr:row>
          <xdr:rowOff>320040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182880</xdr:colOff>
          <xdr:row>5</xdr:row>
          <xdr:rowOff>83820</xdr:rowOff>
        </xdr:from>
        <xdr:to>
          <xdr:col>3</xdr:col>
          <xdr:colOff>1013460</xdr:colOff>
          <xdr:row>5</xdr:row>
          <xdr:rowOff>388620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3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312420</xdr:colOff>
          <xdr:row>6</xdr:row>
          <xdr:rowOff>91440</xdr:rowOff>
        </xdr:from>
        <xdr:to>
          <xdr:col>3</xdr:col>
          <xdr:colOff>883920</xdr:colOff>
          <xdr:row>6</xdr:row>
          <xdr:rowOff>388620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312420</xdr:colOff>
          <xdr:row>7</xdr:row>
          <xdr:rowOff>68580</xdr:rowOff>
        </xdr:from>
        <xdr:to>
          <xdr:col>3</xdr:col>
          <xdr:colOff>929640</xdr:colOff>
          <xdr:row>7</xdr:row>
          <xdr:rowOff>396240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8</xdr:row>
          <xdr:rowOff>38100</xdr:rowOff>
        </xdr:from>
        <xdr:to>
          <xdr:col>3</xdr:col>
          <xdr:colOff>1089660</xdr:colOff>
          <xdr:row>8</xdr:row>
          <xdr:rowOff>388620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3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320040</xdr:colOff>
          <xdr:row>9</xdr:row>
          <xdr:rowOff>144780</xdr:rowOff>
        </xdr:from>
        <xdr:to>
          <xdr:col>3</xdr:col>
          <xdr:colOff>891540</xdr:colOff>
          <xdr:row>9</xdr:row>
          <xdr:rowOff>320040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259080</xdr:colOff>
          <xdr:row>10</xdr:row>
          <xdr:rowOff>160020</xdr:rowOff>
        </xdr:from>
        <xdr:to>
          <xdr:col>3</xdr:col>
          <xdr:colOff>975360</xdr:colOff>
          <xdr:row>10</xdr:row>
          <xdr:rowOff>312420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388620</xdr:colOff>
          <xdr:row>11</xdr:row>
          <xdr:rowOff>144780</xdr:rowOff>
        </xdr:from>
        <xdr:to>
          <xdr:col>3</xdr:col>
          <xdr:colOff>822960</xdr:colOff>
          <xdr:row>11</xdr:row>
          <xdr:rowOff>297180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8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2.vml"/><Relationship Id="rId21" Type="http://schemas.openxmlformats.org/officeDocument/2006/relationships/image" Target="../media/image12.emf"/><Relationship Id="rId7" Type="http://schemas.openxmlformats.org/officeDocument/2006/relationships/image" Target="../media/image5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10.emf"/><Relationship Id="rId25" Type="http://schemas.openxmlformats.org/officeDocument/2006/relationships/image" Target="../media/image14.emf"/><Relationship Id="rId2" Type="http://schemas.openxmlformats.org/officeDocument/2006/relationships/drawing" Target="../drawings/drawing4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7.emf"/><Relationship Id="rId24" Type="http://schemas.openxmlformats.org/officeDocument/2006/relationships/oleObject" Target="../embeddings/oleObject11.bin"/><Relationship Id="rId5" Type="http://schemas.openxmlformats.org/officeDocument/2006/relationships/image" Target="../media/image4.emf"/><Relationship Id="rId15" Type="http://schemas.openxmlformats.org/officeDocument/2006/relationships/image" Target="../media/image9.emf"/><Relationship Id="rId23" Type="http://schemas.openxmlformats.org/officeDocument/2006/relationships/image" Target="../media/image13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1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6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D48A-048E-427E-8397-405E61C57494}">
  <sheetPr codeName="Hoja1"/>
  <dimension ref="A1:AN45"/>
  <sheetViews>
    <sheetView showGridLines="0" tabSelected="1" topLeftCell="A4" workbookViewId="0">
      <selection activeCell="S17" sqref="S17"/>
    </sheetView>
  </sheetViews>
  <sheetFormatPr baseColWidth="10" defaultRowHeight="13.8" x14ac:dyDescent="0.25"/>
  <cols>
    <col min="1" max="1" width="7.19921875" style="17" customWidth="1"/>
    <col min="2" max="2" width="9.19921875" customWidth="1"/>
    <col min="3" max="3" width="9.59765625" customWidth="1"/>
    <col min="4" max="5" width="9.3984375" customWidth="1"/>
    <col min="6" max="7" width="9.59765625" customWidth="1"/>
    <col min="8" max="8" width="7.8984375" customWidth="1"/>
    <col min="9" max="9" width="10.3984375" customWidth="1"/>
    <col min="10" max="10" width="8.69921875" customWidth="1"/>
    <col min="11" max="11" width="6" customWidth="1"/>
    <col min="12" max="12" width="8.69921875" customWidth="1"/>
    <col min="13" max="13" width="8" customWidth="1"/>
    <col min="14" max="15" width="7.5" customWidth="1"/>
    <col min="16" max="16" width="8" customWidth="1"/>
    <col min="17" max="17" width="8.09765625" customWidth="1"/>
    <col min="18" max="18" width="7.59765625" customWidth="1"/>
    <col min="19" max="19" width="6.69921875" customWidth="1"/>
    <col min="20" max="20" width="5.8984375" customWidth="1"/>
    <col min="21" max="21" width="7" customWidth="1"/>
    <col min="22" max="22" width="6" customWidth="1"/>
    <col min="23" max="23" width="10" customWidth="1"/>
    <col min="24" max="25" width="8.09765625" customWidth="1"/>
    <col min="26" max="26" width="6.3984375" customWidth="1"/>
    <col min="27" max="27" width="10.19921875" customWidth="1"/>
    <col min="28" max="28" width="6.19921875" customWidth="1"/>
    <col min="29" max="29" width="10.3984375" customWidth="1"/>
    <col min="30" max="31" width="7.8984375" customWidth="1"/>
    <col min="32" max="32" width="6.8984375" customWidth="1"/>
    <col min="33" max="33" width="6.69921875" customWidth="1"/>
    <col min="34" max="34" width="10.69921875" customWidth="1"/>
    <col min="35" max="35" width="7" customWidth="1"/>
    <col min="36" max="36" width="11.09765625" customWidth="1"/>
    <col min="37" max="37" width="17.5" style="70" customWidth="1"/>
  </cols>
  <sheetData>
    <row r="1" spans="1:40" s="34" customFormat="1" ht="18.899999999999999" customHeight="1" thickTop="1" thickBot="1" x14ac:dyDescent="0.3">
      <c r="A1" s="258"/>
      <c r="B1" s="199"/>
      <c r="C1" s="199"/>
      <c r="D1" s="200"/>
      <c r="E1" s="238" t="s">
        <v>235</v>
      </c>
      <c r="F1" s="239"/>
      <c r="G1" s="239"/>
      <c r="H1" s="239"/>
      <c r="I1" s="239"/>
      <c r="J1" s="222" t="s">
        <v>206</v>
      </c>
      <c r="K1" s="223"/>
      <c r="L1" s="177" t="s">
        <v>204</v>
      </c>
      <c r="M1" s="226" t="s">
        <v>243</v>
      </c>
      <c r="N1" s="227"/>
      <c r="O1" s="228"/>
      <c r="P1" s="198"/>
      <c r="Q1" s="199"/>
      <c r="R1" s="200"/>
      <c r="S1" s="192" t="s">
        <v>210</v>
      </c>
      <c r="T1" s="193"/>
      <c r="U1" s="193"/>
      <c r="V1" s="193"/>
      <c r="W1" s="193"/>
      <c r="X1" s="194"/>
      <c r="Y1" s="307"/>
      <c r="Z1" s="308"/>
      <c r="AA1" s="308"/>
      <c r="AB1" s="308"/>
      <c r="AC1" s="308"/>
      <c r="AD1" s="308"/>
      <c r="AE1" s="308"/>
      <c r="AF1" s="309"/>
      <c r="AG1" s="199"/>
      <c r="AH1" s="199"/>
      <c r="AI1" s="262"/>
      <c r="AJ1" s="181"/>
    </row>
    <row r="2" spans="1:40" s="34" customFormat="1" ht="18.899999999999999" customHeight="1" thickBot="1" x14ac:dyDescent="0.3">
      <c r="A2" s="259"/>
      <c r="B2" s="202"/>
      <c r="C2" s="202"/>
      <c r="D2" s="202"/>
      <c r="E2" s="72" t="s">
        <v>198</v>
      </c>
      <c r="F2" s="268" t="s">
        <v>245</v>
      </c>
      <c r="G2" s="269"/>
      <c r="H2" s="270"/>
      <c r="I2" s="271"/>
      <c r="J2" s="224"/>
      <c r="K2" s="225"/>
      <c r="L2" s="178" t="s">
        <v>205</v>
      </c>
      <c r="M2" s="195" t="s">
        <v>244</v>
      </c>
      <c r="N2" s="196"/>
      <c r="O2" s="197"/>
      <c r="P2" s="201"/>
      <c r="Q2" s="202"/>
      <c r="R2" s="202"/>
      <c r="S2" s="282" t="s">
        <v>207</v>
      </c>
      <c r="T2" s="283"/>
      <c r="U2" s="284" t="s">
        <v>246</v>
      </c>
      <c r="V2" s="214"/>
      <c r="W2" s="85" t="s">
        <v>204</v>
      </c>
      <c r="X2" s="64" t="s">
        <v>213</v>
      </c>
      <c r="Y2" s="310"/>
      <c r="Z2" s="311"/>
      <c r="AA2" s="311"/>
      <c r="AB2" s="311"/>
      <c r="AC2" s="311"/>
      <c r="AD2" s="311"/>
      <c r="AE2" s="311"/>
      <c r="AF2" s="312"/>
      <c r="AG2" s="202"/>
      <c r="AH2" s="202"/>
      <c r="AI2" s="263"/>
      <c r="AJ2" s="181"/>
    </row>
    <row r="3" spans="1:40" s="34" customFormat="1" ht="18.899999999999999" customHeight="1" thickBot="1" x14ac:dyDescent="0.3">
      <c r="A3" s="260"/>
      <c r="B3" s="261"/>
      <c r="C3" s="261"/>
      <c r="D3" s="261"/>
      <c r="E3" s="179" t="s">
        <v>199</v>
      </c>
      <c r="F3" s="190" t="s">
        <v>239</v>
      </c>
      <c r="G3" s="191"/>
      <c r="H3" s="265"/>
      <c r="I3" s="266"/>
      <c r="J3" s="201"/>
      <c r="K3" s="202"/>
      <c r="L3" s="267"/>
      <c r="M3" s="201"/>
      <c r="N3" s="202"/>
      <c r="O3" s="267"/>
      <c r="P3" s="201"/>
      <c r="Q3" s="202"/>
      <c r="R3" s="202"/>
      <c r="S3" s="205" t="s">
        <v>209</v>
      </c>
      <c r="T3" s="206"/>
      <c r="U3" s="159"/>
      <c r="V3" s="160" t="s">
        <v>253</v>
      </c>
      <c r="W3" s="84" t="s">
        <v>211</v>
      </c>
      <c r="X3" s="68">
        <v>1</v>
      </c>
      <c r="Y3" s="230" t="s">
        <v>236</v>
      </c>
      <c r="Z3" s="231"/>
      <c r="AA3" s="232"/>
      <c r="AB3" s="214" t="s">
        <v>237</v>
      </c>
      <c r="AC3" s="214"/>
      <c r="AD3" s="240" t="s">
        <v>203</v>
      </c>
      <c r="AE3" s="240"/>
      <c r="AF3" s="241"/>
      <c r="AG3" s="202"/>
      <c r="AH3" s="202"/>
      <c r="AI3" s="263"/>
      <c r="AJ3" s="181"/>
    </row>
    <row r="4" spans="1:40" s="34" customFormat="1" ht="18.899999999999999" customHeight="1" x14ac:dyDescent="0.25">
      <c r="A4" s="249" t="s">
        <v>187</v>
      </c>
      <c r="B4" s="340" t="s">
        <v>184</v>
      </c>
      <c r="C4" s="341"/>
      <c r="D4" s="341"/>
      <c r="E4" s="73" t="s">
        <v>185</v>
      </c>
      <c r="F4" s="74" t="s">
        <v>140</v>
      </c>
      <c r="G4" s="75">
        <v>765</v>
      </c>
      <c r="H4" s="201"/>
      <c r="I4" s="267"/>
      <c r="J4" s="201"/>
      <c r="K4" s="202"/>
      <c r="L4" s="267"/>
      <c r="M4" s="201"/>
      <c r="N4" s="202"/>
      <c r="O4" s="267"/>
      <c r="P4" s="201"/>
      <c r="Q4" s="202"/>
      <c r="R4" s="202"/>
      <c r="S4" s="205" t="s">
        <v>208</v>
      </c>
      <c r="T4" s="206"/>
      <c r="U4" s="229" t="s">
        <v>247</v>
      </c>
      <c r="V4" s="215"/>
      <c r="W4" s="180" t="s">
        <v>267</v>
      </c>
      <c r="X4" s="68">
        <v>85</v>
      </c>
      <c r="Y4" s="233"/>
      <c r="Z4" s="234"/>
      <c r="AA4" s="235"/>
      <c r="AB4" s="215"/>
      <c r="AC4" s="215"/>
      <c r="AD4" s="242"/>
      <c r="AE4" s="242"/>
      <c r="AF4" s="243"/>
      <c r="AG4" s="202"/>
      <c r="AH4" s="202"/>
      <c r="AI4" s="263"/>
      <c r="AJ4" s="181"/>
    </row>
    <row r="5" spans="1:40" s="34" customFormat="1" ht="18.899999999999999" customHeight="1" thickBot="1" x14ac:dyDescent="0.3">
      <c r="A5" s="250"/>
      <c r="B5" s="205" t="s">
        <v>183</v>
      </c>
      <c r="C5" s="206"/>
      <c r="D5" s="206"/>
      <c r="E5" s="58" t="s">
        <v>186</v>
      </c>
      <c r="F5" s="61" t="s">
        <v>125</v>
      </c>
      <c r="G5" s="68">
        <v>65</v>
      </c>
      <c r="H5" s="201"/>
      <c r="I5" s="267"/>
      <c r="J5" s="201"/>
      <c r="K5" s="202"/>
      <c r="L5" s="267"/>
      <c r="M5" s="201"/>
      <c r="N5" s="202"/>
      <c r="O5" s="267"/>
      <c r="P5" s="201"/>
      <c r="Q5" s="202"/>
      <c r="R5" s="202"/>
      <c r="S5" s="256" t="s">
        <v>212</v>
      </c>
      <c r="T5" s="257"/>
      <c r="U5" s="257"/>
      <c r="V5" s="158" t="s">
        <v>214</v>
      </c>
      <c r="W5" s="180" t="s">
        <v>266</v>
      </c>
      <c r="X5" s="68">
        <v>82.55</v>
      </c>
      <c r="Y5" s="216" t="s">
        <v>202</v>
      </c>
      <c r="Z5" s="217"/>
      <c r="AA5" s="218"/>
      <c r="AB5" s="229" t="s">
        <v>248</v>
      </c>
      <c r="AC5" s="215"/>
      <c r="AD5" s="242" t="s">
        <v>203</v>
      </c>
      <c r="AE5" s="242"/>
      <c r="AF5" s="243"/>
      <c r="AG5" s="202"/>
      <c r="AH5" s="202"/>
      <c r="AI5" s="263"/>
      <c r="AJ5" s="181"/>
    </row>
    <row r="6" spans="1:40" s="34" customFormat="1" ht="27" customHeight="1" thickBot="1" x14ac:dyDescent="0.3">
      <c r="A6" s="250"/>
      <c r="B6" s="205" t="s">
        <v>181</v>
      </c>
      <c r="C6" s="206"/>
      <c r="D6" s="206"/>
      <c r="E6" s="58" t="s">
        <v>31</v>
      </c>
      <c r="F6" s="63" t="s">
        <v>80</v>
      </c>
      <c r="G6" s="83">
        <v>14</v>
      </c>
      <c r="H6" s="236" t="s">
        <v>167</v>
      </c>
      <c r="I6" s="237"/>
      <c r="J6" s="237"/>
      <c r="K6" s="237"/>
      <c r="L6" s="188">
        <v>0.71619999999999995</v>
      </c>
      <c r="M6" s="189"/>
      <c r="N6" s="203" t="s">
        <v>168</v>
      </c>
      <c r="O6" s="204"/>
      <c r="P6" s="204"/>
      <c r="Q6" s="204"/>
      <c r="R6" s="82">
        <f>716.2/L6</f>
        <v>1000.0000000000001</v>
      </c>
      <c r="S6" s="272" t="s">
        <v>264</v>
      </c>
      <c r="T6" s="273"/>
      <c r="U6" s="274"/>
      <c r="V6" s="80">
        <v>11.6</v>
      </c>
      <c r="W6" s="86" t="s">
        <v>265</v>
      </c>
      <c r="X6" s="81">
        <v>468</v>
      </c>
      <c r="Y6" s="219"/>
      <c r="Z6" s="220"/>
      <c r="AA6" s="221"/>
      <c r="AB6" s="196"/>
      <c r="AC6" s="196"/>
      <c r="AD6" s="244"/>
      <c r="AE6" s="244"/>
      <c r="AF6" s="245"/>
      <c r="AG6" s="261"/>
      <c r="AH6" s="261"/>
      <c r="AI6" s="264"/>
      <c r="AJ6" s="181"/>
    </row>
    <row r="7" spans="1:40" s="39" customFormat="1" ht="16.2" thickBot="1" x14ac:dyDescent="0.35">
      <c r="A7" s="251"/>
      <c r="B7" s="342" t="s">
        <v>182</v>
      </c>
      <c r="C7" s="343"/>
      <c r="D7" s="343"/>
      <c r="E7" s="100" t="s">
        <v>38</v>
      </c>
      <c r="F7" s="101" t="s">
        <v>93</v>
      </c>
      <c r="G7" s="102">
        <f>G6+273.15</f>
        <v>287.14999999999998</v>
      </c>
      <c r="H7" s="210" t="s">
        <v>97</v>
      </c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1"/>
      <c r="T7" s="207" t="s">
        <v>143</v>
      </c>
      <c r="U7" s="208"/>
      <c r="V7" s="208"/>
      <c r="W7" s="208"/>
      <c r="X7" s="208"/>
      <c r="Y7" s="209"/>
      <c r="Z7" s="212" t="s">
        <v>142</v>
      </c>
      <c r="AA7" s="213"/>
      <c r="AB7" s="252" t="s">
        <v>134</v>
      </c>
      <c r="AC7" s="253"/>
      <c r="AD7" s="253"/>
      <c r="AE7" s="253"/>
      <c r="AF7" s="253"/>
      <c r="AG7" s="254"/>
      <c r="AH7" s="254"/>
      <c r="AI7" s="255"/>
      <c r="AJ7" s="181"/>
      <c r="AN7" s="154"/>
    </row>
    <row r="8" spans="1:40" s="35" customFormat="1" ht="53.25" customHeight="1" thickTop="1" x14ac:dyDescent="0.25">
      <c r="A8" s="246" t="s">
        <v>86</v>
      </c>
      <c r="B8" s="103" t="s">
        <v>87</v>
      </c>
      <c r="C8" s="104" t="s">
        <v>171</v>
      </c>
      <c r="D8" s="104" t="s">
        <v>172</v>
      </c>
      <c r="E8" s="104" t="s">
        <v>173</v>
      </c>
      <c r="F8" s="104" t="s">
        <v>169</v>
      </c>
      <c r="G8" s="105" t="s">
        <v>170</v>
      </c>
      <c r="H8" s="106" t="s">
        <v>89</v>
      </c>
      <c r="I8" s="107" t="s">
        <v>91</v>
      </c>
      <c r="J8" s="107" t="s">
        <v>98</v>
      </c>
      <c r="K8" s="107" t="s">
        <v>94</v>
      </c>
      <c r="L8" s="107" t="s">
        <v>119</v>
      </c>
      <c r="M8" s="107" t="s">
        <v>99</v>
      </c>
      <c r="N8" s="107" t="s">
        <v>180</v>
      </c>
      <c r="O8" s="107" t="s">
        <v>100</v>
      </c>
      <c r="P8" s="107" t="s">
        <v>101</v>
      </c>
      <c r="Q8" s="107" t="s">
        <v>102</v>
      </c>
      <c r="R8" s="108" t="s">
        <v>103</v>
      </c>
      <c r="S8" s="108" t="s">
        <v>112</v>
      </c>
      <c r="T8" s="109" t="s">
        <v>104</v>
      </c>
      <c r="U8" s="110" t="s">
        <v>108</v>
      </c>
      <c r="V8" s="110" t="s">
        <v>160</v>
      </c>
      <c r="W8" s="111" t="s">
        <v>109</v>
      </c>
      <c r="X8" s="111" t="s">
        <v>110</v>
      </c>
      <c r="Y8" s="112" t="s">
        <v>144</v>
      </c>
      <c r="Z8" s="113" t="s">
        <v>117</v>
      </c>
      <c r="AA8" s="114" t="s">
        <v>118</v>
      </c>
      <c r="AB8" s="115" t="s">
        <v>117</v>
      </c>
      <c r="AC8" s="116" t="s">
        <v>118</v>
      </c>
      <c r="AD8" s="116" t="s">
        <v>120</v>
      </c>
      <c r="AE8" s="116" t="s">
        <v>123</v>
      </c>
      <c r="AF8" s="116" t="s">
        <v>124</v>
      </c>
      <c r="AG8" s="116" t="s">
        <v>126</v>
      </c>
      <c r="AH8" s="116" t="s">
        <v>127</v>
      </c>
      <c r="AI8" s="117" t="s">
        <v>133</v>
      </c>
      <c r="AJ8" s="181"/>
    </row>
    <row r="9" spans="1:40" s="16" customFormat="1" ht="16.2" x14ac:dyDescent="0.3">
      <c r="A9" s="247"/>
      <c r="B9" s="57" t="s">
        <v>174</v>
      </c>
      <c r="C9" s="58" t="s">
        <v>49</v>
      </c>
      <c r="D9" s="58" t="s">
        <v>51</v>
      </c>
      <c r="E9" s="60" t="s">
        <v>50</v>
      </c>
      <c r="F9" s="66" t="s">
        <v>165</v>
      </c>
      <c r="G9" s="67" t="s">
        <v>166</v>
      </c>
      <c r="H9" s="65" t="s">
        <v>8</v>
      </c>
      <c r="I9" s="58" t="s">
        <v>3</v>
      </c>
      <c r="J9" s="60" t="s">
        <v>44</v>
      </c>
      <c r="K9" s="60" t="s">
        <v>178</v>
      </c>
      <c r="L9" s="60" t="s">
        <v>33</v>
      </c>
      <c r="M9" s="60" t="s">
        <v>43</v>
      </c>
      <c r="N9" s="60" t="s">
        <v>179</v>
      </c>
      <c r="O9" s="36" t="s">
        <v>45</v>
      </c>
      <c r="P9" s="36" t="s">
        <v>46</v>
      </c>
      <c r="Q9" s="36" t="s">
        <v>47</v>
      </c>
      <c r="R9" s="37" t="s">
        <v>105</v>
      </c>
      <c r="S9" s="37" t="s">
        <v>116</v>
      </c>
      <c r="T9" s="57" t="s">
        <v>19</v>
      </c>
      <c r="U9" s="58" t="s">
        <v>22</v>
      </c>
      <c r="V9" s="58" t="s">
        <v>17</v>
      </c>
      <c r="W9" s="91" t="s">
        <v>48</v>
      </c>
      <c r="X9" s="60" t="s">
        <v>52</v>
      </c>
      <c r="Y9" s="89" t="s">
        <v>141</v>
      </c>
      <c r="Z9" s="87" t="s">
        <v>137</v>
      </c>
      <c r="AA9" s="88" t="s">
        <v>138</v>
      </c>
      <c r="AB9" s="89" t="s">
        <v>135</v>
      </c>
      <c r="AC9" s="90" t="s">
        <v>136</v>
      </c>
      <c r="AD9" s="58" t="s">
        <v>139</v>
      </c>
      <c r="AE9" s="58" t="s">
        <v>130</v>
      </c>
      <c r="AF9" s="58" t="s">
        <v>131</v>
      </c>
      <c r="AG9" s="58" t="s">
        <v>132</v>
      </c>
      <c r="AH9" s="58" t="s">
        <v>129</v>
      </c>
      <c r="AI9" s="118" t="s">
        <v>145</v>
      </c>
      <c r="AJ9" s="181"/>
    </row>
    <row r="10" spans="1:40" s="52" customFormat="1" ht="13.5" customHeight="1" thickBot="1" x14ac:dyDescent="0.3">
      <c r="A10" s="248"/>
      <c r="B10" s="119" t="s">
        <v>88</v>
      </c>
      <c r="C10" s="120" t="s">
        <v>140</v>
      </c>
      <c r="D10" s="120" t="s">
        <v>140</v>
      </c>
      <c r="E10" s="120" t="s">
        <v>140</v>
      </c>
      <c r="F10" s="120" t="s">
        <v>80</v>
      </c>
      <c r="G10" s="121" t="s">
        <v>80</v>
      </c>
      <c r="H10" s="122" t="s">
        <v>90</v>
      </c>
      <c r="I10" s="120" t="s">
        <v>268</v>
      </c>
      <c r="J10" s="120" t="s">
        <v>92</v>
      </c>
      <c r="K10" s="120" t="s">
        <v>95</v>
      </c>
      <c r="L10" s="120"/>
      <c r="M10" s="120" t="s">
        <v>92</v>
      </c>
      <c r="N10" s="120" t="s">
        <v>95</v>
      </c>
      <c r="O10" s="120" t="s">
        <v>92</v>
      </c>
      <c r="P10" s="120" t="s">
        <v>92</v>
      </c>
      <c r="Q10" s="120" t="s">
        <v>92</v>
      </c>
      <c r="R10" s="123" t="s">
        <v>96</v>
      </c>
      <c r="S10" s="123" t="s">
        <v>96</v>
      </c>
      <c r="T10" s="119" t="s">
        <v>106</v>
      </c>
      <c r="U10" s="120" t="s">
        <v>107</v>
      </c>
      <c r="V10" s="120" t="s">
        <v>161</v>
      </c>
      <c r="W10" s="120" t="s">
        <v>122</v>
      </c>
      <c r="X10" s="120" t="s">
        <v>75</v>
      </c>
      <c r="Y10" s="123" t="s">
        <v>140</v>
      </c>
      <c r="Z10" s="119" t="s">
        <v>96</v>
      </c>
      <c r="AA10" s="121" t="s">
        <v>80</v>
      </c>
      <c r="AB10" s="122" t="s">
        <v>96</v>
      </c>
      <c r="AC10" s="120" t="s">
        <v>80</v>
      </c>
      <c r="AD10" s="120" t="s">
        <v>121</v>
      </c>
      <c r="AE10" s="120" t="s">
        <v>125</v>
      </c>
      <c r="AF10" s="120" t="s">
        <v>125</v>
      </c>
      <c r="AG10" s="120" t="s">
        <v>125</v>
      </c>
      <c r="AH10" s="120" t="s">
        <v>128</v>
      </c>
      <c r="AI10" s="124" t="s">
        <v>125</v>
      </c>
      <c r="AJ10" s="181"/>
    </row>
    <row r="11" spans="1:40" s="53" customFormat="1" ht="15" customHeight="1" thickTop="1" x14ac:dyDescent="0.25">
      <c r="A11" s="125">
        <v>1</v>
      </c>
      <c r="B11" s="126"/>
      <c r="C11" s="126">
        <v>785</v>
      </c>
      <c r="D11" s="127">
        <v>16.899999999999999</v>
      </c>
      <c r="E11" s="127">
        <f>C11-D11</f>
        <v>768.1</v>
      </c>
      <c r="F11" s="128">
        <v>26</v>
      </c>
      <c r="G11" s="128">
        <v>22</v>
      </c>
      <c r="H11" s="129">
        <v>700</v>
      </c>
      <c r="I11" s="130">
        <v>51</v>
      </c>
      <c r="J11" s="128">
        <f t="shared" ref="J11:J30" si="0">(H11*I11)/$R$6</f>
        <v>35.699999999999996</v>
      </c>
      <c r="K11" s="128">
        <f t="shared" ref="K11:K30" si="1">(716.2*J11)/H11</f>
        <v>36.526200000000003</v>
      </c>
      <c r="L11" s="131">
        <f>(760/E11)*SQRT((F11+273)/293)</f>
        <v>0.99953409103185697</v>
      </c>
      <c r="M11" s="132">
        <f>J11*L11</f>
        <v>35.683367049837287</v>
      </c>
      <c r="N11" s="132">
        <f>(716.2*M11)/H11</f>
        <v>36.509182115847807</v>
      </c>
      <c r="O11" s="126"/>
      <c r="P11" s="126"/>
      <c r="Q11" s="126"/>
      <c r="R11" s="126"/>
      <c r="S11" s="126"/>
      <c r="T11" s="126"/>
      <c r="U11" s="133"/>
      <c r="V11" s="133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34"/>
      <c r="AJ11" s="181"/>
      <c r="AK11" s="161" t="s">
        <v>189</v>
      </c>
    </row>
    <row r="12" spans="1:40" s="53" customFormat="1" x14ac:dyDescent="0.25">
      <c r="A12" s="135">
        <f>A11+1</f>
        <v>2</v>
      </c>
      <c r="B12" s="19"/>
      <c r="C12" s="19">
        <v>785</v>
      </c>
      <c r="D12" s="59">
        <v>17.79</v>
      </c>
      <c r="E12" s="59">
        <f t="shared" ref="E12:E30" si="2">C12-D12</f>
        <v>767.21</v>
      </c>
      <c r="F12" s="55">
        <v>26</v>
      </c>
      <c r="G12" s="55">
        <v>22.5</v>
      </c>
      <c r="H12" s="77">
        <v>900</v>
      </c>
      <c r="I12" s="54">
        <v>54</v>
      </c>
      <c r="J12" s="55">
        <f t="shared" si="0"/>
        <v>48.599999999999994</v>
      </c>
      <c r="K12" s="55">
        <f t="shared" si="1"/>
        <v>38.674799999999998</v>
      </c>
      <c r="L12" s="69">
        <f t="shared" ref="L12:L30" si="3">(760/E12)*SQRT((F12+273)/293)</f>
        <v>1.000693597999986</v>
      </c>
      <c r="M12" s="76">
        <f t="shared" ref="M12:M30" si="4">J12*L12</f>
        <v>48.633708862799317</v>
      </c>
      <c r="N12" s="76">
        <f t="shared" ref="N12:N30" si="5">(716.2*M12)/H12</f>
        <v>38.701624763929857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36"/>
      <c r="AJ12" s="181"/>
      <c r="AK12" s="161" t="s">
        <v>190</v>
      </c>
    </row>
    <row r="13" spans="1:40" s="53" customFormat="1" x14ac:dyDescent="0.25">
      <c r="A13" s="135">
        <f t="shared" ref="A13:A30" si="6">A12+1</f>
        <v>3</v>
      </c>
      <c r="B13" s="19"/>
      <c r="C13" s="19">
        <v>785</v>
      </c>
      <c r="D13" s="59">
        <v>21.93</v>
      </c>
      <c r="E13" s="59">
        <f t="shared" si="2"/>
        <v>763.07</v>
      </c>
      <c r="F13" s="55">
        <v>28</v>
      </c>
      <c r="G13" s="55">
        <v>25</v>
      </c>
      <c r="H13" s="77">
        <v>1100</v>
      </c>
      <c r="I13" s="54">
        <v>55.5</v>
      </c>
      <c r="J13" s="55">
        <f t="shared" si="0"/>
        <v>61.04999999999999</v>
      </c>
      <c r="K13" s="55">
        <f t="shared" si="1"/>
        <v>39.749099999999999</v>
      </c>
      <c r="L13" s="69">
        <f t="shared" si="3"/>
        <v>1.0094821644932124</v>
      </c>
      <c r="M13" s="76">
        <f t="shared" si="4"/>
        <v>61.628886142310606</v>
      </c>
      <c r="N13" s="76">
        <f t="shared" si="5"/>
        <v>40.126007504657146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36"/>
      <c r="AK13" s="161" t="s">
        <v>191</v>
      </c>
    </row>
    <row r="14" spans="1:40" s="53" customFormat="1" x14ac:dyDescent="0.25">
      <c r="A14" s="135">
        <f t="shared" si="6"/>
        <v>4</v>
      </c>
      <c r="B14" s="19"/>
      <c r="C14" s="19">
        <v>785</v>
      </c>
      <c r="D14" s="59">
        <v>22.96</v>
      </c>
      <c r="E14" s="59">
        <f t="shared" si="2"/>
        <v>762.04</v>
      </c>
      <c r="F14" s="55">
        <v>30</v>
      </c>
      <c r="G14" s="55">
        <v>26</v>
      </c>
      <c r="H14" s="77">
        <v>1300</v>
      </c>
      <c r="I14" s="54">
        <v>56</v>
      </c>
      <c r="J14" s="55">
        <f t="shared" si="0"/>
        <v>72.8</v>
      </c>
      <c r="K14" s="55">
        <f t="shared" si="1"/>
        <v>40.107199999999999</v>
      </c>
      <c r="L14" s="69">
        <f t="shared" si="3"/>
        <v>1.0141993503042075</v>
      </c>
      <c r="M14" s="76">
        <f t="shared" si="4"/>
        <v>73.8337127021463</v>
      </c>
      <c r="N14" s="76">
        <f t="shared" si="5"/>
        <v>40.676696182520914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36"/>
      <c r="AK14" s="161" t="s">
        <v>188</v>
      </c>
    </row>
    <row r="15" spans="1:40" s="53" customFormat="1" x14ac:dyDescent="0.25">
      <c r="A15" s="135">
        <f t="shared" si="6"/>
        <v>5</v>
      </c>
      <c r="B15" s="19"/>
      <c r="C15" s="19">
        <v>785</v>
      </c>
      <c r="D15" s="59">
        <v>25.08</v>
      </c>
      <c r="E15" s="59">
        <f t="shared" si="2"/>
        <v>759.92</v>
      </c>
      <c r="F15" s="55">
        <v>33</v>
      </c>
      <c r="G15" s="55">
        <v>28</v>
      </c>
      <c r="H15" s="77">
        <v>1500</v>
      </c>
      <c r="I15" s="54">
        <v>54</v>
      </c>
      <c r="J15" s="55">
        <f t="shared" si="0"/>
        <v>80.999999999999986</v>
      </c>
      <c r="K15" s="55">
        <f t="shared" si="1"/>
        <v>38.674799999999998</v>
      </c>
      <c r="L15" s="69">
        <f t="shared" si="3"/>
        <v>1.0220511251777715</v>
      </c>
      <c r="M15" s="76">
        <f t="shared" si="4"/>
        <v>82.786141139399476</v>
      </c>
      <c r="N15" s="76">
        <f t="shared" si="5"/>
        <v>39.527622856025275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36"/>
      <c r="AK15" s="161" t="s">
        <v>192</v>
      </c>
    </row>
    <row r="16" spans="1:40" s="53" customFormat="1" x14ac:dyDescent="0.25">
      <c r="A16" s="135">
        <f t="shared" si="6"/>
        <v>6</v>
      </c>
      <c r="B16" s="19"/>
      <c r="C16" s="19">
        <v>785</v>
      </c>
      <c r="D16" s="59">
        <v>26.89</v>
      </c>
      <c r="E16" s="59">
        <f t="shared" si="2"/>
        <v>758.11</v>
      </c>
      <c r="F16" s="55">
        <v>35</v>
      </c>
      <c r="G16" s="55">
        <v>29</v>
      </c>
      <c r="H16" s="77">
        <v>1700</v>
      </c>
      <c r="I16" s="54">
        <v>53.5</v>
      </c>
      <c r="J16" s="55">
        <f t="shared" si="0"/>
        <v>90.949999999999989</v>
      </c>
      <c r="K16" s="55">
        <f t="shared" si="1"/>
        <v>38.316699999999997</v>
      </c>
      <c r="L16" s="69">
        <f t="shared" si="3"/>
        <v>1.0278338468699877</v>
      </c>
      <c r="M16" s="76">
        <f t="shared" si="4"/>
        <v>93.481488372825368</v>
      </c>
      <c r="N16" s="76">
        <f t="shared" si="5"/>
        <v>39.383201160363249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36"/>
      <c r="AK16" s="161" t="s">
        <v>193</v>
      </c>
    </row>
    <row r="17" spans="1:37" s="53" customFormat="1" x14ac:dyDescent="0.25">
      <c r="A17" s="135">
        <f t="shared" si="6"/>
        <v>7</v>
      </c>
      <c r="B17" s="19"/>
      <c r="C17" s="19">
        <v>785</v>
      </c>
      <c r="D17" s="59">
        <v>30.25</v>
      </c>
      <c r="E17" s="59">
        <f t="shared" si="2"/>
        <v>754.75</v>
      </c>
      <c r="F17" s="55">
        <v>37</v>
      </c>
      <c r="G17" s="55">
        <v>32</v>
      </c>
      <c r="H17" s="77">
        <v>1900</v>
      </c>
      <c r="I17" s="54">
        <v>52</v>
      </c>
      <c r="J17" s="55">
        <f t="shared" si="0"/>
        <v>98.799999999999983</v>
      </c>
      <c r="K17" s="55">
        <f t="shared" si="1"/>
        <v>37.242399999999996</v>
      </c>
      <c r="L17" s="69">
        <f t="shared" si="3"/>
        <v>1.0357561181406174</v>
      </c>
      <c r="M17" s="76">
        <f t="shared" si="4"/>
        <v>102.33270447229299</v>
      </c>
      <c r="N17" s="76">
        <f t="shared" si="5"/>
        <v>38.574043654240121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36"/>
      <c r="AK17" s="162" t="s">
        <v>197</v>
      </c>
    </row>
    <row r="18" spans="1:37" s="53" customFormat="1" x14ac:dyDescent="0.25">
      <c r="A18" s="135">
        <f t="shared" si="6"/>
        <v>8</v>
      </c>
      <c r="B18" s="19"/>
      <c r="C18" s="19">
        <v>785</v>
      </c>
      <c r="D18" s="59">
        <v>13.7</v>
      </c>
      <c r="E18" s="59">
        <f t="shared" si="2"/>
        <v>771.3</v>
      </c>
      <c r="F18" s="55">
        <v>37</v>
      </c>
      <c r="G18" s="55">
        <v>33</v>
      </c>
      <c r="H18" s="77">
        <v>2100</v>
      </c>
      <c r="I18" s="54">
        <v>57.3</v>
      </c>
      <c r="J18" s="55">
        <f t="shared" si="0"/>
        <v>120.32999999999998</v>
      </c>
      <c r="K18" s="55">
        <f t="shared" si="1"/>
        <v>41.038259999999994</v>
      </c>
      <c r="L18" s="69">
        <f t="shared" si="3"/>
        <v>1.013531609187905</v>
      </c>
      <c r="M18" s="76">
        <f t="shared" si="4"/>
        <v>121.95825853358059</v>
      </c>
      <c r="N18" s="76">
        <f t="shared" si="5"/>
        <v>41.593573696071637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36"/>
      <c r="AK18" s="162" t="s">
        <v>194</v>
      </c>
    </row>
    <row r="19" spans="1:37" s="53" customFormat="1" x14ac:dyDescent="0.25">
      <c r="A19" s="135">
        <f t="shared" si="6"/>
        <v>9</v>
      </c>
      <c r="B19" s="19"/>
      <c r="C19" s="19">
        <v>785</v>
      </c>
      <c r="D19" s="59">
        <v>16.03</v>
      </c>
      <c r="E19" s="59">
        <f t="shared" si="2"/>
        <v>768.97</v>
      </c>
      <c r="F19" s="55">
        <v>39</v>
      </c>
      <c r="G19" s="55">
        <v>33</v>
      </c>
      <c r="H19" s="77">
        <v>2300</v>
      </c>
      <c r="I19" s="54">
        <v>56.5</v>
      </c>
      <c r="J19" s="55">
        <f t="shared" si="0"/>
        <v>129.94999999999999</v>
      </c>
      <c r="K19" s="55">
        <f t="shared" si="1"/>
        <v>40.465299999999999</v>
      </c>
      <c r="L19" s="69">
        <f t="shared" si="3"/>
        <v>1.0198767285555788</v>
      </c>
      <c r="M19" s="76">
        <f t="shared" si="4"/>
        <v>132.53298087579745</v>
      </c>
      <c r="N19" s="76">
        <f t="shared" si="5"/>
        <v>41.269617784020056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36"/>
      <c r="AK19" s="161" t="s">
        <v>195</v>
      </c>
    </row>
    <row r="20" spans="1:37" s="53" customFormat="1" x14ac:dyDescent="0.25">
      <c r="A20" s="135">
        <f t="shared" si="6"/>
        <v>10</v>
      </c>
      <c r="B20" s="19"/>
      <c r="C20" s="19">
        <v>785</v>
      </c>
      <c r="D20" s="59">
        <v>18.100000000000001</v>
      </c>
      <c r="E20" s="59">
        <f t="shared" si="2"/>
        <v>766.9</v>
      </c>
      <c r="F20" s="55">
        <v>42</v>
      </c>
      <c r="G20" s="55">
        <v>34</v>
      </c>
      <c r="H20" s="77">
        <v>2500</v>
      </c>
      <c r="I20" s="54">
        <v>54.6</v>
      </c>
      <c r="J20" s="55">
        <f t="shared" si="0"/>
        <v>136.49999999999997</v>
      </c>
      <c r="K20" s="55">
        <f t="shared" si="1"/>
        <v>39.104519999999994</v>
      </c>
      <c r="L20" s="69">
        <f t="shared" si="3"/>
        <v>1.0275342841632573</v>
      </c>
      <c r="M20" s="76">
        <f t="shared" si="4"/>
        <v>140.25842978828459</v>
      </c>
      <c r="N20" s="76">
        <f t="shared" si="5"/>
        <v>40.18123496574777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36"/>
      <c r="AK20" s="163" t="s">
        <v>249</v>
      </c>
    </row>
    <row r="21" spans="1:37" s="53" customFormat="1" x14ac:dyDescent="0.25">
      <c r="A21" s="135">
        <f t="shared" si="6"/>
        <v>11</v>
      </c>
      <c r="B21" s="19"/>
      <c r="C21" s="19">
        <v>785</v>
      </c>
      <c r="D21" s="59">
        <v>18.100000000000001</v>
      </c>
      <c r="E21" s="59">
        <f t="shared" si="2"/>
        <v>766.9</v>
      </c>
      <c r="F21" s="55">
        <v>26</v>
      </c>
      <c r="G21" s="55">
        <v>35</v>
      </c>
      <c r="H21" s="77">
        <v>2700</v>
      </c>
      <c r="I21" s="54">
        <v>51.5</v>
      </c>
      <c r="J21" s="55">
        <f t="shared" si="0"/>
        <v>139.04999999999998</v>
      </c>
      <c r="K21" s="55">
        <f t="shared" si="1"/>
        <v>36.884300000000003</v>
      </c>
      <c r="L21" s="69">
        <f t="shared" si="3"/>
        <v>1.0010981031706472</v>
      </c>
      <c r="M21" s="76">
        <f t="shared" si="4"/>
        <v>139.20269124587847</v>
      </c>
      <c r="N21" s="76">
        <f t="shared" si="5"/>
        <v>36.924802766777098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36"/>
      <c r="AK21" s="163" t="s">
        <v>250</v>
      </c>
    </row>
    <row r="22" spans="1:37" s="53" customFormat="1" x14ac:dyDescent="0.25">
      <c r="A22" s="135">
        <f t="shared" si="6"/>
        <v>12</v>
      </c>
      <c r="B22" s="19"/>
      <c r="C22" s="19">
        <v>785</v>
      </c>
      <c r="D22" s="59">
        <v>18.100000000000001</v>
      </c>
      <c r="E22" s="59">
        <f t="shared" si="2"/>
        <v>766.9</v>
      </c>
      <c r="F22" s="55">
        <v>29</v>
      </c>
      <c r="G22" s="55">
        <v>35</v>
      </c>
      <c r="H22" s="77">
        <v>2900</v>
      </c>
      <c r="I22" s="54">
        <v>48.2</v>
      </c>
      <c r="J22" s="55">
        <f t="shared" si="0"/>
        <v>139.77999999999997</v>
      </c>
      <c r="K22" s="55">
        <f t="shared" si="1"/>
        <v>34.520839999999993</v>
      </c>
      <c r="L22" s="69">
        <f t="shared" si="3"/>
        <v>1.0061077996923022</v>
      </c>
      <c r="M22" s="76">
        <f t="shared" si="4"/>
        <v>140.63374824098997</v>
      </c>
      <c r="N22" s="76">
        <f t="shared" si="5"/>
        <v>34.731686375930011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36"/>
      <c r="AK22" s="161" t="s">
        <v>196</v>
      </c>
    </row>
    <row r="23" spans="1:37" s="53" customFormat="1" x14ac:dyDescent="0.25">
      <c r="A23" s="135">
        <f t="shared" si="6"/>
        <v>13</v>
      </c>
      <c r="B23" s="19"/>
      <c r="C23" s="19">
        <v>785</v>
      </c>
      <c r="D23" s="59">
        <v>18.100000000000001</v>
      </c>
      <c r="E23" s="59">
        <f t="shared" si="2"/>
        <v>766.9</v>
      </c>
      <c r="F23" s="55">
        <v>28</v>
      </c>
      <c r="G23" s="55">
        <v>33</v>
      </c>
      <c r="H23" s="77">
        <v>3000</v>
      </c>
      <c r="I23" s="54">
        <v>47</v>
      </c>
      <c r="J23" s="55">
        <f t="shared" si="0"/>
        <v>140.99999999999997</v>
      </c>
      <c r="K23" s="55">
        <f t="shared" si="1"/>
        <v>33.661399999999993</v>
      </c>
      <c r="L23" s="69">
        <f t="shared" si="3"/>
        <v>1.0044406770893672</v>
      </c>
      <c r="M23" s="76">
        <f t="shared" si="4"/>
        <v>141.62613546960074</v>
      </c>
      <c r="N23" s="76">
        <f t="shared" si="5"/>
        <v>33.810879407776021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36"/>
      <c r="AK23" s="93" t="s">
        <v>254</v>
      </c>
    </row>
    <row r="24" spans="1:37" s="53" customFormat="1" x14ac:dyDescent="0.25">
      <c r="A24" s="135">
        <f t="shared" si="6"/>
        <v>14</v>
      </c>
      <c r="B24" s="19"/>
      <c r="C24" s="19">
        <v>785</v>
      </c>
      <c r="D24" s="59">
        <v>20.68</v>
      </c>
      <c r="E24" s="59">
        <f t="shared" si="2"/>
        <v>764.32</v>
      </c>
      <c r="F24" s="55">
        <v>29</v>
      </c>
      <c r="G24" s="55">
        <v>35</v>
      </c>
      <c r="H24" s="78">
        <v>3200</v>
      </c>
      <c r="I24" s="55">
        <v>36.5</v>
      </c>
      <c r="J24" s="55">
        <f t="shared" si="0"/>
        <v>116.79999999999998</v>
      </c>
      <c r="K24" s="55">
        <f t="shared" si="1"/>
        <v>26.141299999999998</v>
      </c>
      <c r="L24" s="69">
        <f t="shared" si="3"/>
        <v>1.0095039663806085</v>
      </c>
      <c r="M24" s="76">
        <f t="shared" si="4"/>
        <v>117.91006327325505</v>
      </c>
      <c r="N24" s="76">
        <f t="shared" si="5"/>
        <v>26.389746036345397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36"/>
      <c r="AK24" s="71"/>
    </row>
    <row r="25" spans="1:37" s="53" customFormat="1" x14ac:dyDescent="0.25">
      <c r="A25" s="135">
        <f t="shared" si="6"/>
        <v>15</v>
      </c>
      <c r="B25" s="19"/>
      <c r="C25" s="19"/>
      <c r="D25" s="59"/>
      <c r="E25" s="59">
        <f t="shared" si="2"/>
        <v>0</v>
      </c>
      <c r="F25" s="55"/>
      <c r="G25" s="55"/>
      <c r="H25" s="56"/>
      <c r="I25" s="55"/>
      <c r="J25" s="55">
        <f t="shared" si="0"/>
        <v>0</v>
      </c>
      <c r="K25" s="55" t="e">
        <f t="shared" si="1"/>
        <v>#DIV/0!</v>
      </c>
      <c r="L25" s="69" t="e">
        <f t="shared" si="3"/>
        <v>#DIV/0!</v>
      </c>
      <c r="M25" s="55" t="e">
        <f t="shared" si="4"/>
        <v>#DIV/0!</v>
      </c>
      <c r="N25" s="55" t="e">
        <f t="shared" si="5"/>
        <v>#DIV/0!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36"/>
      <c r="AK25" s="71"/>
    </row>
    <row r="26" spans="1:37" s="53" customFormat="1" x14ac:dyDescent="0.25">
      <c r="A26" s="135">
        <f>A25+1</f>
        <v>16</v>
      </c>
      <c r="B26" s="19"/>
      <c r="C26" s="19"/>
      <c r="D26" s="59"/>
      <c r="E26" s="59">
        <f t="shared" si="2"/>
        <v>0</v>
      </c>
      <c r="F26" s="55"/>
      <c r="G26" s="55"/>
      <c r="H26" s="56"/>
      <c r="I26" s="55"/>
      <c r="J26" s="55">
        <f t="shared" si="0"/>
        <v>0</v>
      </c>
      <c r="K26" s="55" t="e">
        <f t="shared" si="1"/>
        <v>#DIV/0!</v>
      </c>
      <c r="L26" s="69" t="e">
        <f t="shared" si="3"/>
        <v>#DIV/0!</v>
      </c>
      <c r="M26" s="55" t="e">
        <f t="shared" si="4"/>
        <v>#DIV/0!</v>
      </c>
      <c r="N26" s="55" t="e">
        <f t="shared" si="5"/>
        <v>#DIV/0!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36"/>
      <c r="AK26" s="71"/>
    </row>
    <row r="27" spans="1:37" s="53" customFormat="1" x14ac:dyDescent="0.25">
      <c r="A27" s="135">
        <f t="shared" si="6"/>
        <v>17</v>
      </c>
      <c r="B27" s="19"/>
      <c r="C27" s="19"/>
      <c r="D27" s="59"/>
      <c r="E27" s="59">
        <f t="shared" si="2"/>
        <v>0</v>
      </c>
      <c r="F27" s="55"/>
      <c r="G27" s="55"/>
      <c r="H27" s="56"/>
      <c r="I27" s="55"/>
      <c r="J27" s="55">
        <f t="shared" si="0"/>
        <v>0</v>
      </c>
      <c r="K27" s="55" t="e">
        <f t="shared" si="1"/>
        <v>#DIV/0!</v>
      </c>
      <c r="L27" s="69" t="e">
        <f t="shared" si="3"/>
        <v>#DIV/0!</v>
      </c>
      <c r="M27" s="55" t="e">
        <f t="shared" si="4"/>
        <v>#DIV/0!</v>
      </c>
      <c r="N27" s="55" t="e">
        <f t="shared" si="5"/>
        <v>#DIV/0!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36"/>
      <c r="AK27" s="71"/>
    </row>
    <row r="28" spans="1:37" s="53" customFormat="1" x14ac:dyDescent="0.25">
      <c r="A28" s="135">
        <f t="shared" si="6"/>
        <v>18</v>
      </c>
      <c r="B28" s="19"/>
      <c r="C28" s="19"/>
      <c r="D28" s="59"/>
      <c r="E28" s="59">
        <f t="shared" si="2"/>
        <v>0</v>
      </c>
      <c r="F28" s="55"/>
      <c r="G28" s="55"/>
      <c r="H28" s="56"/>
      <c r="I28" s="55"/>
      <c r="J28" s="55">
        <f t="shared" si="0"/>
        <v>0</v>
      </c>
      <c r="K28" s="55" t="e">
        <f t="shared" si="1"/>
        <v>#DIV/0!</v>
      </c>
      <c r="L28" s="69" t="e">
        <f t="shared" si="3"/>
        <v>#DIV/0!</v>
      </c>
      <c r="M28" s="55" t="e">
        <f t="shared" si="4"/>
        <v>#DIV/0!</v>
      </c>
      <c r="N28" s="55" t="e">
        <f t="shared" si="5"/>
        <v>#DIV/0!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36"/>
      <c r="AK28" s="71"/>
    </row>
    <row r="29" spans="1:37" s="53" customFormat="1" x14ac:dyDescent="0.25">
      <c r="A29" s="135">
        <f>A28+1</f>
        <v>19</v>
      </c>
      <c r="B29" s="19"/>
      <c r="C29" s="19"/>
      <c r="D29" s="59"/>
      <c r="E29" s="59">
        <f t="shared" si="2"/>
        <v>0</v>
      </c>
      <c r="F29" s="55"/>
      <c r="G29" s="55"/>
      <c r="H29" s="56"/>
      <c r="I29" s="55"/>
      <c r="J29" s="55">
        <f t="shared" si="0"/>
        <v>0</v>
      </c>
      <c r="K29" s="55" t="e">
        <f t="shared" si="1"/>
        <v>#DIV/0!</v>
      </c>
      <c r="L29" s="69" t="e">
        <f t="shared" si="3"/>
        <v>#DIV/0!</v>
      </c>
      <c r="M29" s="55" t="e">
        <f t="shared" si="4"/>
        <v>#DIV/0!</v>
      </c>
      <c r="N29" s="55" t="e">
        <f t="shared" si="5"/>
        <v>#DIV/0!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36"/>
      <c r="AK29" s="71"/>
    </row>
    <row r="30" spans="1:37" s="53" customFormat="1" ht="14.4" thickBot="1" x14ac:dyDescent="0.3">
      <c r="A30" s="137">
        <f t="shared" si="6"/>
        <v>20</v>
      </c>
      <c r="B30" s="138"/>
      <c r="C30" s="138"/>
      <c r="D30" s="139"/>
      <c r="E30" s="139">
        <f t="shared" si="2"/>
        <v>0</v>
      </c>
      <c r="F30" s="140"/>
      <c r="G30" s="140"/>
      <c r="H30" s="141"/>
      <c r="I30" s="140"/>
      <c r="J30" s="140">
        <f t="shared" si="0"/>
        <v>0</v>
      </c>
      <c r="K30" s="140" t="e">
        <f t="shared" si="1"/>
        <v>#DIV/0!</v>
      </c>
      <c r="L30" s="142" t="e">
        <f t="shared" si="3"/>
        <v>#DIV/0!</v>
      </c>
      <c r="M30" s="140" t="e">
        <f t="shared" si="4"/>
        <v>#DIV/0!</v>
      </c>
      <c r="N30" s="140" t="e">
        <f t="shared" si="5"/>
        <v>#DIV/0!</v>
      </c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43"/>
      <c r="AK30" s="71"/>
    </row>
    <row r="31" spans="1:37" s="1" customFormat="1" ht="15" customHeight="1" thickTop="1" x14ac:dyDescent="0.25">
      <c r="A31" s="293"/>
      <c r="B31" s="294"/>
      <c r="C31" s="294"/>
      <c r="D31" s="294"/>
      <c r="E31" s="275" t="s">
        <v>220</v>
      </c>
      <c r="F31" s="276"/>
      <c r="G31" s="164" t="s">
        <v>252</v>
      </c>
      <c r="H31" s="170" t="s">
        <v>216</v>
      </c>
      <c r="I31" s="164" t="s">
        <v>19</v>
      </c>
      <c r="J31" s="170" t="s">
        <v>204</v>
      </c>
      <c r="K31" s="277"/>
      <c r="L31" s="278"/>
      <c r="M31" s="285" t="s">
        <v>262</v>
      </c>
      <c r="N31" s="286"/>
      <c r="O31" s="145"/>
      <c r="P31" s="285" t="s">
        <v>258</v>
      </c>
      <c r="Q31" s="286"/>
      <c r="R31" s="286"/>
      <c r="S31" s="144">
        <v>0.15</v>
      </c>
      <c r="T31" s="326" t="s">
        <v>228</v>
      </c>
      <c r="U31" s="327"/>
      <c r="V31" s="328"/>
      <c r="W31" s="313" t="s">
        <v>263</v>
      </c>
      <c r="X31" s="314"/>
      <c r="Y31" s="314"/>
      <c r="Z31" s="314"/>
      <c r="AA31" s="314"/>
      <c r="AB31" s="314"/>
      <c r="AC31" s="314"/>
      <c r="AD31" s="314"/>
      <c r="AE31" s="314"/>
      <c r="AF31" s="314"/>
      <c r="AG31" s="314"/>
      <c r="AH31" s="314"/>
      <c r="AI31" s="315"/>
      <c r="AK31" s="71"/>
    </row>
    <row r="32" spans="1:37" s="1" customFormat="1" ht="15.75" customHeight="1" thickBot="1" x14ac:dyDescent="0.3">
      <c r="A32" s="295"/>
      <c r="B32" s="296"/>
      <c r="C32" s="296"/>
      <c r="D32" s="296"/>
      <c r="E32" s="184" t="s">
        <v>215</v>
      </c>
      <c r="F32" s="185"/>
      <c r="G32" s="19">
        <v>40</v>
      </c>
      <c r="H32" s="167" t="s">
        <v>255</v>
      </c>
      <c r="I32" s="171">
        <v>2000</v>
      </c>
      <c r="J32" s="147" t="s">
        <v>90</v>
      </c>
      <c r="K32" s="301"/>
      <c r="L32" s="302"/>
      <c r="M32" s="280" t="s">
        <v>225</v>
      </c>
      <c r="N32" s="281"/>
      <c r="O32" s="97" t="s">
        <v>232</v>
      </c>
      <c r="P32" s="324" t="s">
        <v>259</v>
      </c>
      <c r="Q32" s="325"/>
      <c r="R32" s="325"/>
      <c r="S32" s="98">
        <v>0.2</v>
      </c>
      <c r="T32" s="329">
        <v>11</v>
      </c>
      <c r="U32" s="330"/>
      <c r="V32" s="331"/>
      <c r="W32" s="316"/>
      <c r="X32" s="317"/>
      <c r="Y32" s="317"/>
      <c r="Z32" s="317"/>
      <c r="AA32" s="317"/>
      <c r="AB32" s="317"/>
      <c r="AC32" s="317"/>
      <c r="AD32" s="317"/>
      <c r="AE32" s="317"/>
      <c r="AF32" s="317"/>
      <c r="AG32" s="317"/>
      <c r="AH32" s="317"/>
      <c r="AI32" s="318"/>
      <c r="AK32" s="71"/>
    </row>
    <row r="33" spans="1:37" s="1" customFormat="1" ht="24" thickBot="1" x14ac:dyDescent="0.3">
      <c r="A33" s="295"/>
      <c r="B33" s="296"/>
      <c r="C33" s="296"/>
      <c r="D33" s="296"/>
      <c r="E33" s="184" t="s">
        <v>217</v>
      </c>
      <c r="F33" s="185"/>
      <c r="G33" s="165"/>
      <c r="H33" s="92" t="s">
        <v>219</v>
      </c>
      <c r="I33" s="289" t="s">
        <v>222</v>
      </c>
      <c r="J33" s="290"/>
      <c r="K33" s="299" t="s">
        <v>233</v>
      </c>
      <c r="L33" s="300"/>
      <c r="M33" s="287" t="s">
        <v>224</v>
      </c>
      <c r="N33" s="288"/>
      <c r="O33" s="98">
        <v>40</v>
      </c>
      <c r="P33" s="174" t="s">
        <v>260</v>
      </c>
      <c r="Q33" s="176"/>
      <c r="R33" s="174" t="s">
        <v>261</v>
      </c>
      <c r="S33" s="175"/>
      <c r="T33" s="329"/>
      <c r="U33" s="330"/>
      <c r="V33" s="331"/>
      <c r="W33" s="316"/>
      <c r="X33" s="317"/>
      <c r="Y33" s="317"/>
      <c r="Z33" s="317"/>
      <c r="AA33" s="317"/>
      <c r="AB33" s="317"/>
      <c r="AC33" s="317"/>
      <c r="AD33" s="317"/>
      <c r="AE33" s="317"/>
      <c r="AF33" s="317"/>
      <c r="AG33" s="317"/>
      <c r="AH33" s="317"/>
      <c r="AI33" s="318"/>
      <c r="AK33" s="71"/>
    </row>
    <row r="34" spans="1:37" s="1" customFormat="1" ht="14.4" thickBot="1" x14ac:dyDescent="0.3">
      <c r="A34" s="295"/>
      <c r="B34" s="296"/>
      <c r="C34" s="296"/>
      <c r="D34" s="296"/>
      <c r="E34" s="182" t="s">
        <v>218</v>
      </c>
      <c r="F34" s="183"/>
      <c r="G34" s="166"/>
      <c r="H34" s="146" t="s">
        <v>219</v>
      </c>
      <c r="I34" s="169" t="s">
        <v>223</v>
      </c>
      <c r="J34" s="147" t="s">
        <v>234</v>
      </c>
      <c r="K34" s="148" t="s">
        <v>256</v>
      </c>
      <c r="L34" s="146">
        <v>0.7</v>
      </c>
      <c r="M34" s="289" t="s">
        <v>226</v>
      </c>
      <c r="N34" s="290"/>
      <c r="O34" s="338" t="s">
        <v>257</v>
      </c>
      <c r="P34" s="291"/>
      <c r="Q34" s="173" t="s">
        <v>216</v>
      </c>
      <c r="R34" s="291"/>
      <c r="S34" s="292"/>
      <c r="T34" s="332" t="str" cm="1">
        <f t="array" ref="T34">INDEX(AK11:AK22,T32)</f>
        <v>PLINT-TE17</v>
      </c>
      <c r="U34" s="333"/>
      <c r="V34" s="334"/>
      <c r="W34" s="316"/>
      <c r="X34" s="317"/>
      <c r="Y34" s="317"/>
      <c r="Z34" s="317"/>
      <c r="AA34" s="317"/>
      <c r="AB34" s="317"/>
      <c r="AC34" s="317"/>
      <c r="AD34" s="317"/>
      <c r="AE34" s="317"/>
      <c r="AF34" s="317"/>
      <c r="AG34" s="317"/>
      <c r="AH34" s="317"/>
      <c r="AI34" s="318"/>
      <c r="AK34" s="71"/>
    </row>
    <row r="35" spans="1:37" s="1" customFormat="1" ht="14.4" thickBot="1" x14ac:dyDescent="0.3">
      <c r="A35" s="297"/>
      <c r="B35" s="298"/>
      <c r="C35" s="298"/>
      <c r="D35" s="298"/>
      <c r="E35" s="186" t="s">
        <v>221</v>
      </c>
      <c r="F35" s="187"/>
      <c r="G35" s="279" t="s">
        <v>252</v>
      </c>
      <c r="H35" s="279"/>
      <c r="I35" s="168" t="s">
        <v>204</v>
      </c>
      <c r="J35" s="303" t="s">
        <v>251</v>
      </c>
      <c r="K35" s="303"/>
      <c r="L35" s="304"/>
      <c r="M35" s="305" t="s">
        <v>227</v>
      </c>
      <c r="N35" s="306"/>
      <c r="O35" s="339" t="s">
        <v>257</v>
      </c>
      <c r="P35" s="322"/>
      <c r="Q35" s="172" t="s">
        <v>216</v>
      </c>
      <c r="R35" s="322"/>
      <c r="S35" s="323"/>
      <c r="T35" s="335"/>
      <c r="U35" s="336"/>
      <c r="V35" s="337"/>
      <c r="W35" s="319"/>
      <c r="X35" s="320"/>
      <c r="Y35" s="320"/>
      <c r="Z35" s="320"/>
      <c r="AA35" s="320"/>
      <c r="AB35" s="320"/>
      <c r="AC35" s="320"/>
      <c r="AD35" s="320"/>
      <c r="AE35" s="320"/>
      <c r="AF35" s="320"/>
      <c r="AG35" s="320"/>
      <c r="AH35" s="320"/>
      <c r="AI35" s="321"/>
      <c r="AK35" s="71"/>
    </row>
    <row r="36" spans="1:37" s="1" customFormat="1" ht="15.6" thickTop="1" x14ac:dyDescent="0.25">
      <c r="A36" s="53"/>
      <c r="B36" s="53"/>
      <c r="C36" s="53"/>
      <c r="D36" s="53"/>
      <c r="E36" s="149"/>
      <c r="F36" s="149"/>
      <c r="G36" s="93"/>
      <c r="H36" s="93"/>
      <c r="J36" s="150"/>
      <c r="K36" s="150"/>
      <c r="L36" s="150"/>
      <c r="M36" s="151"/>
      <c r="N36" s="151"/>
      <c r="O36" s="53"/>
      <c r="P36" s="53"/>
      <c r="Q36" s="152"/>
      <c r="R36" s="53"/>
      <c r="S36" s="53"/>
      <c r="T36" s="153"/>
      <c r="U36" s="153"/>
      <c r="V36" s="153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K36" s="71"/>
    </row>
    <row r="37" spans="1:37" ht="15" x14ac:dyDescent="0.25">
      <c r="A37" s="157" t="s">
        <v>238</v>
      </c>
      <c r="G37" s="62"/>
      <c r="Q37" s="62"/>
      <c r="W37" s="155" t="s">
        <v>240</v>
      </c>
    </row>
    <row r="38" spans="1:37" ht="15" x14ac:dyDescent="0.25">
      <c r="B38" s="94"/>
      <c r="C38" t="s">
        <v>229</v>
      </c>
      <c r="G38" s="62"/>
      <c r="J38" s="62"/>
      <c r="Q38" s="62"/>
      <c r="W38" s="155" t="s">
        <v>241</v>
      </c>
    </row>
    <row r="39" spans="1:37" ht="15" x14ac:dyDescent="0.25">
      <c r="B39" s="95"/>
      <c r="C39" t="s">
        <v>230</v>
      </c>
      <c r="G39" s="62"/>
      <c r="J39" s="62"/>
      <c r="Q39" s="62"/>
      <c r="W39" s="156" t="s">
        <v>242</v>
      </c>
    </row>
    <row r="40" spans="1:37" ht="15" x14ac:dyDescent="0.25">
      <c r="B40" s="96"/>
      <c r="C40" t="s">
        <v>231</v>
      </c>
      <c r="G40" s="62"/>
      <c r="J40" s="62"/>
      <c r="Q40" s="62"/>
    </row>
    <row r="41" spans="1:37" ht="15" x14ac:dyDescent="0.25">
      <c r="G41" s="62"/>
      <c r="J41" s="62"/>
    </row>
    <row r="42" spans="1:37" ht="15" x14ac:dyDescent="0.25">
      <c r="G42" s="62"/>
      <c r="J42" s="62"/>
    </row>
    <row r="43" spans="1:37" ht="15" x14ac:dyDescent="0.25">
      <c r="J43" s="62"/>
    </row>
    <row r="44" spans="1:37" ht="15" x14ac:dyDescent="0.25">
      <c r="J44" s="62"/>
    </row>
    <row r="45" spans="1:37" ht="15" x14ac:dyDescent="0.25">
      <c r="J45" s="62"/>
    </row>
  </sheetData>
  <mergeCells count="68">
    <mergeCell ref="W31:AI35"/>
    <mergeCell ref="R35:S35"/>
    <mergeCell ref="P31:R31"/>
    <mergeCell ref="P32:R32"/>
    <mergeCell ref="T31:V31"/>
    <mergeCell ref="T32:V33"/>
    <mergeCell ref="T34:V35"/>
    <mergeCell ref="O34:P34"/>
    <mergeCell ref="O35:P35"/>
    <mergeCell ref="A31:D35"/>
    <mergeCell ref="K33:L33"/>
    <mergeCell ref="I33:J33"/>
    <mergeCell ref="K32:L32"/>
    <mergeCell ref="J35:L35"/>
    <mergeCell ref="E31:F31"/>
    <mergeCell ref="K31:L31"/>
    <mergeCell ref="G35:H35"/>
    <mergeCell ref="M32:N32"/>
    <mergeCell ref="S2:T2"/>
    <mergeCell ref="M31:N31"/>
    <mergeCell ref="M33:N33"/>
    <mergeCell ref="M34:N34"/>
    <mergeCell ref="R34:S34"/>
    <mergeCell ref="M35:N35"/>
    <mergeCell ref="AD3:AF4"/>
    <mergeCell ref="AD5:AF6"/>
    <mergeCell ref="A8:A10"/>
    <mergeCell ref="B6:D6"/>
    <mergeCell ref="B7:D7"/>
    <mergeCell ref="A4:A7"/>
    <mergeCell ref="B4:D4"/>
    <mergeCell ref="B5:D5"/>
    <mergeCell ref="AB7:AI7"/>
    <mergeCell ref="S4:T4"/>
    <mergeCell ref="U4:V4"/>
    <mergeCell ref="S5:U5"/>
    <mergeCell ref="A1:D3"/>
    <mergeCell ref="AG1:AI6"/>
    <mergeCell ref="H3:I5"/>
    <mergeCell ref="J3:L5"/>
    <mergeCell ref="Y5:AA6"/>
    <mergeCell ref="J1:K2"/>
    <mergeCell ref="M1:O1"/>
    <mergeCell ref="AB5:AC6"/>
    <mergeCell ref="Y3:AA4"/>
    <mergeCell ref="H6:K6"/>
    <mergeCell ref="E1:I1"/>
    <mergeCell ref="M3:O5"/>
    <mergeCell ref="F2:I2"/>
    <mergeCell ref="S6:U6"/>
    <mergeCell ref="U2:V2"/>
    <mergeCell ref="Y1:AF2"/>
    <mergeCell ref="AJ1:AJ12"/>
    <mergeCell ref="E34:F34"/>
    <mergeCell ref="E33:F33"/>
    <mergeCell ref="E32:F32"/>
    <mergeCell ref="E35:F35"/>
    <mergeCell ref="L6:M6"/>
    <mergeCell ref="F3:G3"/>
    <mergeCell ref="S1:X1"/>
    <mergeCell ref="M2:O2"/>
    <mergeCell ref="P1:R5"/>
    <mergeCell ref="N6:Q6"/>
    <mergeCell ref="S3:T3"/>
    <mergeCell ref="T7:Y7"/>
    <mergeCell ref="H7:S7"/>
    <mergeCell ref="Z7:AA7"/>
    <mergeCell ref="AB3:AC4"/>
  </mergeCells>
  <phoneticPr fontId="3" type="noConversion"/>
  <printOptions horizontalCentered="1" verticalCentered="1"/>
  <pageMargins left="0" right="0.12" top="0" bottom="0" header="0" footer="0"/>
  <pageSetup paperSize="9" scale="85" orientation="landscape" horizontalDpi="0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69" r:id="rId4" name="List Box 97">
              <controlPr defaultSize="0" autoLine="0" autoPict="0" macro="[0]!Cuadrodelista97_Cambiar">
                <anchor moveWithCells="1">
                  <from>
                    <xdr:col>19</xdr:col>
                    <xdr:colOff>22860</xdr:colOff>
                    <xdr:row>31</xdr:row>
                    <xdr:rowOff>38100</xdr:rowOff>
                  </from>
                  <to>
                    <xdr:col>21</xdr:col>
                    <xdr:colOff>434340</xdr:colOff>
                    <xdr:row>32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Option Button 4">
              <controlPr defaultSize="0" autoFill="0" autoLine="0" autoPict="0">
                <anchor moveWithCells="1" sizeWithCells="1">
                  <from>
                    <xdr:col>7</xdr:col>
                    <xdr:colOff>434340</xdr:colOff>
                    <xdr:row>2</xdr:row>
                    <xdr:rowOff>182880</xdr:rowOff>
                  </from>
                  <to>
                    <xdr:col>8</xdr:col>
                    <xdr:colOff>342900</xdr:colOff>
                    <xdr:row>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6" name="Option Button 5">
              <controlPr defaultSize="0" autoFill="0" autoLine="0" autoPict="0">
                <anchor moveWithCells="1" sizeWithCells="1">
                  <from>
                    <xdr:col>7</xdr:col>
                    <xdr:colOff>434340</xdr:colOff>
                    <xdr:row>3</xdr:row>
                    <xdr:rowOff>114300</xdr:rowOff>
                  </from>
                  <to>
                    <xdr:col>8</xdr:col>
                    <xdr:colOff>266700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7" name="Group Box 13">
              <controlPr defaultSize="0" autoFill="0" autoPict="0">
                <anchor moveWithCells="1" sizeWithCells="1">
                  <from>
                    <xdr:col>7</xdr:col>
                    <xdr:colOff>121920</xdr:colOff>
                    <xdr:row>2</xdr:row>
                    <xdr:rowOff>76200</xdr:rowOff>
                  </from>
                  <to>
                    <xdr:col>8</xdr:col>
                    <xdr:colOff>541020</xdr:colOff>
                    <xdr:row>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8" name="Option Button 16">
              <controlPr defaultSize="0" autoFill="0" autoLine="0" autoPict="0">
                <anchor moveWithCells="1" sizeWithCells="1">
                  <from>
                    <xdr:col>9</xdr:col>
                    <xdr:colOff>502920</xdr:colOff>
                    <xdr:row>2</xdr:row>
                    <xdr:rowOff>152400</xdr:rowOff>
                  </from>
                  <to>
                    <xdr:col>11</xdr:col>
                    <xdr:colOff>213360</xdr:colOff>
                    <xdr:row>3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9" name="Option Button 17">
              <controlPr defaultSize="0" autoFill="0" autoLine="0" autoPict="0">
                <anchor moveWithCells="1" sizeWithCells="1">
                  <from>
                    <xdr:col>9</xdr:col>
                    <xdr:colOff>502920</xdr:colOff>
                    <xdr:row>3</xdr:row>
                    <xdr:rowOff>106680</xdr:rowOff>
                  </from>
                  <to>
                    <xdr:col>11</xdr:col>
                    <xdr:colOff>228600</xdr:colOff>
                    <xdr:row>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0" name="Group Box 18">
              <controlPr defaultSize="0" autoFill="0" autoPict="0">
                <anchor moveWithCells="1" sizeWithCells="1">
                  <from>
                    <xdr:col>9</xdr:col>
                    <xdr:colOff>236220</xdr:colOff>
                    <xdr:row>2</xdr:row>
                    <xdr:rowOff>99060</xdr:rowOff>
                  </from>
                  <to>
                    <xdr:col>11</xdr:col>
                    <xdr:colOff>350520</xdr:colOff>
                    <xdr:row>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1" name="Option Button 19">
              <controlPr defaultSize="0" autoFill="0" autoLine="0" autoPict="0">
                <anchor moveWithCells="1" sizeWithCells="1">
                  <from>
                    <xdr:col>12</xdr:col>
                    <xdr:colOff>342900</xdr:colOff>
                    <xdr:row>3</xdr:row>
                    <xdr:rowOff>0</xdr:rowOff>
                  </from>
                  <to>
                    <xdr:col>13</xdr:col>
                    <xdr:colOff>175260</xdr:colOff>
                    <xdr:row>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2" name="Option Button 20">
              <controlPr defaultSize="0" autoFill="0" autoLine="0" autoPict="0">
                <anchor moveWithCells="1" sizeWithCells="1">
                  <from>
                    <xdr:col>13</xdr:col>
                    <xdr:colOff>335280</xdr:colOff>
                    <xdr:row>3</xdr:row>
                    <xdr:rowOff>0</xdr:rowOff>
                  </from>
                  <to>
                    <xdr:col>14</xdr:col>
                    <xdr:colOff>198120</xdr:colOff>
                    <xdr:row>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3" name="Group Box 21">
              <controlPr defaultSize="0" autoFill="0" autoPict="0">
                <anchor moveWithCells="1" sizeWithCells="1">
                  <from>
                    <xdr:col>12</xdr:col>
                    <xdr:colOff>220980</xdr:colOff>
                    <xdr:row>2</xdr:row>
                    <xdr:rowOff>99060</xdr:rowOff>
                  </from>
                  <to>
                    <xdr:col>14</xdr:col>
                    <xdr:colOff>266700</xdr:colOff>
                    <xdr:row>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14" name="Group Box 30">
              <controlPr defaultSize="0" autoFill="0" autoPict="0">
                <anchor moveWithCells="1" sizeWithCells="1">
                  <from>
                    <xdr:col>15</xdr:col>
                    <xdr:colOff>144780</xdr:colOff>
                    <xdr:row>0</xdr:row>
                    <xdr:rowOff>68580</xdr:rowOff>
                  </from>
                  <to>
                    <xdr:col>17</xdr:col>
                    <xdr:colOff>251460</xdr:colOff>
                    <xdr:row>4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15" name="Option Button 32">
              <controlPr defaultSize="0" autoFill="0" autoLine="0" autoPict="0">
                <anchor moveWithCells="1" sizeWithCells="1">
                  <from>
                    <xdr:col>15</xdr:col>
                    <xdr:colOff>190500</xdr:colOff>
                    <xdr:row>0</xdr:row>
                    <xdr:rowOff>167640</xdr:rowOff>
                  </from>
                  <to>
                    <xdr:col>16</xdr:col>
                    <xdr:colOff>502920</xdr:colOff>
                    <xdr:row>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16" name="Option Button 33">
              <controlPr defaultSize="0" autoFill="0" autoLine="0" autoPict="0">
                <anchor moveWithCells="1" sizeWithCells="1">
                  <from>
                    <xdr:col>15</xdr:col>
                    <xdr:colOff>190500</xdr:colOff>
                    <xdr:row>1</xdr:row>
                    <xdr:rowOff>91440</xdr:rowOff>
                  </from>
                  <to>
                    <xdr:col>16</xdr:col>
                    <xdr:colOff>571500</xdr:colOff>
                    <xdr:row>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17" name="Option Button 34">
              <controlPr defaultSize="0" autoFill="0" autoLine="0" autoPict="0">
                <anchor moveWithCells="1" sizeWithCells="1">
                  <from>
                    <xdr:col>15</xdr:col>
                    <xdr:colOff>190500</xdr:colOff>
                    <xdr:row>2</xdr:row>
                    <xdr:rowOff>15240</xdr:rowOff>
                  </from>
                  <to>
                    <xdr:col>17</xdr:col>
                    <xdr:colOff>182880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18" name="Option Button 35">
              <controlPr defaultSize="0" autoFill="0" autoLine="0" autoPict="0">
                <anchor moveWithCells="1" sizeWithCells="1">
                  <from>
                    <xdr:col>15</xdr:col>
                    <xdr:colOff>190500</xdr:colOff>
                    <xdr:row>3</xdr:row>
                    <xdr:rowOff>106680</xdr:rowOff>
                  </from>
                  <to>
                    <xdr:col>17</xdr:col>
                    <xdr:colOff>152400</xdr:colOff>
                    <xdr:row>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19" name="Option Button 36">
              <controlPr defaultSize="0" autoFill="0" autoLine="0" autoPict="0">
                <anchor moveWithCells="1" sizeWithCells="1">
                  <from>
                    <xdr:col>15</xdr:col>
                    <xdr:colOff>190500</xdr:colOff>
                    <xdr:row>2</xdr:row>
                    <xdr:rowOff>182880</xdr:rowOff>
                  </from>
                  <to>
                    <xdr:col>16</xdr:col>
                    <xdr:colOff>312420</xdr:colOff>
                    <xdr:row>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20" name="Option Button 43">
              <controlPr defaultSize="0" autoFill="0" autoLine="0" autoPict="0">
                <anchor moveWithCells="1" sizeWithCells="1">
                  <from>
                    <xdr:col>2</xdr:col>
                    <xdr:colOff>609600</xdr:colOff>
                    <xdr:row>31</xdr:row>
                    <xdr:rowOff>38100</xdr:rowOff>
                  </from>
                  <to>
                    <xdr:col>3</xdr:col>
                    <xdr:colOff>426720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21" name="Option Button 44">
              <controlPr defaultSize="0" autoFill="0" autoLine="0" autoPict="0">
                <anchor moveWithCells="1" sizeWithCells="1">
                  <from>
                    <xdr:col>2</xdr:col>
                    <xdr:colOff>609600</xdr:colOff>
                    <xdr:row>32</xdr:row>
                    <xdr:rowOff>38100</xdr:rowOff>
                  </from>
                  <to>
                    <xdr:col>3</xdr:col>
                    <xdr:colOff>502920</xdr:colOff>
                    <xdr:row>32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22" name="Group Box 45">
              <controlPr defaultSize="0" autoFill="0" autoPict="0">
                <anchor moveWithCells="1" sizeWithCells="1">
                  <from>
                    <xdr:col>2</xdr:col>
                    <xdr:colOff>480060</xdr:colOff>
                    <xdr:row>30</xdr:row>
                    <xdr:rowOff>99060</xdr:rowOff>
                  </from>
                  <to>
                    <xdr:col>3</xdr:col>
                    <xdr:colOff>556260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23" name="Option Button 46">
              <controlPr defaultSize="0" autoFill="0" autoLine="0" autoPict="0">
                <anchor moveWithCells="1" sizeWithCells="1">
                  <from>
                    <xdr:col>1</xdr:col>
                    <xdr:colOff>457200</xdr:colOff>
                    <xdr:row>31</xdr:row>
                    <xdr:rowOff>38100</xdr:rowOff>
                  </from>
                  <to>
                    <xdr:col>2</xdr:col>
                    <xdr:colOff>297180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24" name="Option Button 47">
              <controlPr defaultSize="0" autoFill="0" autoLine="0" autoPict="0">
                <anchor moveWithCells="1" sizeWithCells="1">
                  <from>
                    <xdr:col>1</xdr:col>
                    <xdr:colOff>457200</xdr:colOff>
                    <xdr:row>32</xdr:row>
                    <xdr:rowOff>38100</xdr:rowOff>
                  </from>
                  <to>
                    <xdr:col>2</xdr:col>
                    <xdr:colOff>320040</xdr:colOff>
                    <xdr:row>32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25" name="Group Box 48">
              <controlPr defaultSize="0" autoFill="0" autoPict="0">
                <anchor moveWithCells="1" sizeWithCells="1">
                  <from>
                    <xdr:col>1</xdr:col>
                    <xdr:colOff>289560</xdr:colOff>
                    <xdr:row>30</xdr:row>
                    <xdr:rowOff>99060</xdr:rowOff>
                  </from>
                  <to>
                    <xdr:col>2</xdr:col>
                    <xdr:colOff>441960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26" name="Option Button 52">
              <controlPr defaultSize="0" autoFill="0" autoLine="0" autoPict="0">
                <anchor moveWithCells="1" sizeWithCells="1">
                  <from>
                    <xdr:col>0</xdr:col>
                    <xdr:colOff>182880</xdr:colOff>
                    <xdr:row>31</xdr:row>
                    <xdr:rowOff>30480</xdr:rowOff>
                  </from>
                  <to>
                    <xdr:col>1</xdr:col>
                    <xdr:colOff>121920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27" name="Option Button 53">
              <controlPr defaultSize="0" autoFill="0" autoLine="0" autoPict="0">
                <anchor moveWithCells="1" sizeWithCells="1">
                  <from>
                    <xdr:col>0</xdr:col>
                    <xdr:colOff>182880</xdr:colOff>
                    <xdr:row>32</xdr:row>
                    <xdr:rowOff>22860</xdr:rowOff>
                  </from>
                  <to>
                    <xdr:col>1</xdr:col>
                    <xdr:colOff>160020</xdr:colOff>
                    <xdr:row>32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28" name="Group Box 54">
              <controlPr defaultSize="0" autoFill="0" autoPict="0">
                <anchor moveWithCells="1" sizeWithCells="1">
                  <from>
                    <xdr:col>0</xdr:col>
                    <xdr:colOff>30480</xdr:colOff>
                    <xdr:row>30</xdr:row>
                    <xdr:rowOff>99060</xdr:rowOff>
                  </from>
                  <to>
                    <xdr:col>1</xdr:col>
                    <xdr:colOff>251460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29" name="Option Button 55">
              <controlPr defaultSize="0" autoFill="0" autoLine="0" autoPict="0">
                <anchor moveWithCells="1" sizeWithCells="1">
                  <from>
                    <xdr:col>0</xdr:col>
                    <xdr:colOff>182880</xdr:colOff>
                    <xdr:row>32</xdr:row>
                    <xdr:rowOff>228600</xdr:rowOff>
                  </from>
                  <to>
                    <xdr:col>1</xdr:col>
                    <xdr:colOff>121920</xdr:colOff>
                    <xdr:row>33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B309-360D-4A00-A2E8-68815551FFC9}">
  <sheetPr codeName="Hoja3"/>
  <dimension ref="A1:E40"/>
  <sheetViews>
    <sheetView showGridLines="0" topLeftCell="A19" workbookViewId="0">
      <selection activeCell="E19" sqref="E19"/>
    </sheetView>
  </sheetViews>
  <sheetFormatPr baseColWidth="10" defaultRowHeight="13.8" x14ac:dyDescent="0.25"/>
  <cols>
    <col min="1" max="1" width="11" style="1" customWidth="1"/>
    <col min="2" max="2" width="51.69921875" style="1" customWidth="1"/>
    <col min="3" max="3" width="11" style="1" customWidth="1"/>
    <col min="4" max="4" width="13" customWidth="1"/>
    <col min="5" max="5" width="39.69921875" customWidth="1"/>
  </cols>
  <sheetData>
    <row r="1" spans="1:5" ht="45" customHeight="1" thickBot="1" x14ac:dyDescent="0.3">
      <c r="A1" s="2" t="s">
        <v>0</v>
      </c>
      <c r="B1" s="3" t="s">
        <v>1</v>
      </c>
      <c r="C1" s="3" t="s">
        <v>2</v>
      </c>
      <c r="E1" s="33" t="s">
        <v>58</v>
      </c>
    </row>
    <row r="2" spans="1:5" x14ac:dyDescent="0.25">
      <c r="A2" s="5" t="s">
        <v>3</v>
      </c>
      <c r="B2" s="6" t="s">
        <v>4</v>
      </c>
      <c r="C2" s="7" t="s">
        <v>82</v>
      </c>
      <c r="E2" s="12" t="s">
        <v>53</v>
      </c>
    </row>
    <row r="3" spans="1:5" x14ac:dyDescent="0.25">
      <c r="A3" s="8" t="s">
        <v>5</v>
      </c>
      <c r="B3" s="4" t="s">
        <v>6</v>
      </c>
      <c r="C3" s="9" t="s">
        <v>7</v>
      </c>
      <c r="E3" s="13" t="s">
        <v>54</v>
      </c>
    </row>
    <row r="4" spans="1:5" x14ac:dyDescent="0.25">
      <c r="A4" s="8" t="s">
        <v>8</v>
      </c>
      <c r="B4" s="4" t="s">
        <v>9</v>
      </c>
      <c r="C4" s="9" t="s">
        <v>83</v>
      </c>
      <c r="E4" s="13" t="s">
        <v>55</v>
      </c>
    </row>
    <row r="5" spans="1:5" x14ac:dyDescent="0.25">
      <c r="A5" s="8" t="s">
        <v>10</v>
      </c>
      <c r="B5" s="4" t="s">
        <v>11</v>
      </c>
      <c r="C5" s="9"/>
      <c r="E5" s="13" t="s">
        <v>56</v>
      </c>
    </row>
    <row r="6" spans="1:5" ht="16.2" x14ac:dyDescent="0.35">
      <c r="A6" s="8" t="s">
        <v>43</v>
      </c>
      <c r="B6" s="4" t="s">
        <v>12</v>
      </c>
      <c r="C6" s="9" t="s">
        <v>84</v>
      </c>
      <c r="E6" s="14" t="s">
        <v>177</v>
      </c>
    </row>
    <row r="7" spans="1:5" ht="16.8" thickBot="1" x14ac:dyDescent="0.4">
      <c r="A7" s="8" t="s">
        <v>44</v>
      </c>
      <c r="B7" s="4" t="s">
        <v>13</v>
      </c>
      <c r="C7" s="9" t="s">
        <v>84</v>
      </c>
      <c r="E7" s="15" t="s">
        <v>57</v>
      </c>
    </row>
    <row r="8" spans="1:5" ht="16.2" x14ac:dyDescent="0.25">
      <c r="A8" s="8" t="s">
        <v>45</v>
      </c>
      <c r="B8" s="4" t="s">
        <v>14</v>
      </c>
      <c r="C8" s="9" t="s">
        <v>84</v>
      </c>
    </row>
    <row r="9" spans="1:5" ht="16.2" x14ac:dyDescent="0.25">
      <c r="A9" s="8" t="s">
        <v>46</v>
      </c>
      <c r="B9" s="4" t="s">
        <v>15</v>
      </c>
      <c r="C9" s="9" t="s">
        <v>84</v>
      </c>
    </row>
    <row r="10" spans="1:5" ht="16.2" x14ac:dyDescent="0.25">
      <c r="A10" s="8" t="s">
        <v>47</v>
      </c>
      <c r="B10" s="4" t="s">
        <v>16</v>
      </c>
      <c r="C10" s="9" t="s">
        <v>84</v>
      </c>
    </row>
    <row r="11" spans="1:5" x14ac:dyDescent="0.25">
      <c r="A11" s="8" t="s">
        <v>17</v>
      </c>
      <c r="B11" s="4" t="s">
        <v>18</v>
      </c>
      <c r="C11" s="9" t="s">
        <v>164</v>
      </c>
    </row>
    <row r="12" spans="1:5" x14ac:dyDescent="0.25">
      <c r="A12" s="8" t="s">
        <v>19</v>
      </c>
      <c r="B12" s="4" t="s">
        <v>20</v>
      </c>
      <c r="C12" s="9" t="s">
        <v>21</v>
      </c>
    </row>
    <row r="13" spans="1:5" ht="16.2" x14ac:dyDescent="0.25">
      <c r="A13" s="8" t="s">
        <v>22</v>
      </c>
      <c r="B13" s="4" t="s">
        <v>23</v>
      </c>
      <c r="C13" s="9" t="s">
        <v>40</v>
      </c>
    </row>
    <row r="14" spans="1:5" ht="16.2" x14ac:dyDescent="0.25">
      <c r="A14" s="10" t="s">
        <v>48</v>
      </c>
      <c r="B14" s="4" t="s">
        <v>24</v>
      </c>
      <c r="C14" s="9" t="s">
        <v>162</v>
      </c>
    </row>
    <row r="15" spans="1:5" ht="16.2" x14ac:dyDescent="0.25">
      <c r="A15" s="8" t="s">
        <v>49</v>
      </c>
      <c r="B15" s="4" t="s">
        <v>25</v>
      </c>
      <c r="C15" s="9" t="s">
        <v>26</v>
      </c>
    </row>
    <row r="16" spans="1:5" ht="16.2" x14ac:dyDescent="0.25">
      <c r="A16" s="8" t="s">
        <v>50</v>
      </c>
      <c r="B16" s="4" t="s">
        <v>27</v>
      </c>
      <c r="C16" s="9" t="s">
        <v>26</v>
      </c>
    </row>
    <row r="17" spans="1:5" x14ac:dyDescent="0.25">
      <c r="A17" s="8" t="s">
        <v>28</v>
      </c>
      <c r="B17" s="4" t="s">
        <v>29</v>
      </c>
      <c r="C17" s="9" t="s">
        <v>26</v>
      </c>
    </row>
    <row r="18" spans="1:5" ht="16.2" x14ac:dyDescent="0.25">
      <c r="A18" s="8" t="s">
        <v>51</v>
      </c>
      <c r="B18" s="4" t="s">
        <v>30</v>
      </c>
      <c r="C18" s="9" t="s">
        <v>26</v>
      </c>
    </row>
    <row r="19" spans="1:5" ht="16.2" x14ac:dyDescent="0.25">
      <c r="A19" s="8" t="s">
        <v>31</v>
      </c>
      <c r="B19" s="4" t="s">
        <v>32</v>
      </c>
      <c r="C19" s="11" t="s">
        <v>41</v>
      </c>
    </row>
    <row r="20" spans="1:5" x14ac:dyDescent="0.25">
      <c r="A20" s="8" t="s">
        <v>33</v>
      </c>
      <c r="B20" s="4" t="s">
        <v>34</v>
      </c>
      <c r="C20" s="9"/>
    </row>
    <row r="21" spans="1:5" ht="16.2" x14ac:dyDescent="0.25">
      <c r="A21" s="8" t="s">
        <v>52</v>
      </c>
      <c r="B21" s="4" t="s">
        <v>35</v>
      </c>
      <c r="C21" s="9" t="s">
        <v>163</v>
      </c>
      <c r="E21" s="38"/>
    </row>
    <row r="22" spans="1:5" x14ac:dyDescent="0.25">
      <c r="A22" s="8" t="s">
        <v>36</v>
      </c>
      <c r="B22" s="4" t="s">
        <v>37</v>
      </c>
      <c r="C22" s="9" t="s">
        <v>85</v>
      </c>
    </row>
    <row r="23" spans="1:5" ht="16.8" thickBot="1" x14ac:dyDescent="0.3">
      <c r="A23" s="40" t="s">
        <v>38</v>
      </c>
      <c r="B23" s="41" t="s">
        <v>39</v>
      </c>
      <c r="C23" s="42" t="s">
        <v>42</v>
      </c>
    </row>
    <row r="24" spans="1:5" ht="16.2" x14ac:dyDescent="0.25">
      <c r="A24" s="44" t="s">
        <v>111</v>
      </c>
      <c r="B24" s="45" t="s">
        <v>103</v>
      </c>
      <c r="C24" s="46" t="s">
        <v>113</v>
      </c>
    </row>
    <row r="25" spans="1:5" ht="16.2" x14ac:dyDescent="0.25">
      <c r="A25" s="31" t="s">
        <v>116</v>
      </c>
      <c r="B25" s="43" t="s">
        <v>112</v>
      </c>
      <c r="C25" s="47" t="s">
        <v>113</v>
      </c>
    </row>
    <row r="26" spans="1:5" x14ac:dyDescent="0.25">
      <c r="A26" s="31" t="s">
        <v>114</v>
      </c>
      <c r="B26" s="43" t="s">
        <v>115</v>
      </c>
      <c r="C26" s="50"/>
    </row>
    <row r="27" spans="1:5" ht="16.2" x14ac:dyDescent="0.25">
      <c r="A27" s="8" t="s">
        <v>141</v>
      </c>
      <c r="B27" s="43" t="s">
        <v>148</v>
      </c>
      <c r="C27" s="48" t="s">
        <v>140</v>
      </c>
    </row>
    <row r="28" spans="1:5" ht="16.2" x14ac:dyDescent="0.25">
      <c r="A28" s="8" t="s">
        <v>137</v>
      </c>
      <c r="B28" s="43" t="s">
        <v>147</v>
      </c>
      <c r="C28" s="47" t="s">
        <v>113</v>
      </c>
    </row>
    <row r="29" spans="1:5" ht="16.2" x14ac:dyDescent="0.25">
      <c r="A29" s="8" t="s">
        <v>138</v>
      </c>
      <c r="B29" s="43" t="s">
        <v>146</v>
      </c>
      <c r="C29" s="11" t="s">
        <v>41</v>
      </c>
    </row>
    <row r="30" spans="1:5" ht="16.2" x14ac:dyDescent="0.25">
      <c r="A30" s="8" t="s">
        <v>135</v>
      </c>
      <c r="B30" s="43" t="s">
        <v>149</v>
      </c>
      <c r="C30" s="47" t="s">
        <v>113</v>
      </c>
    </row>
    <row r="31" spans="1:5" ht="16.2" x14ac:dyDescent="0.25">
      <c r="A31" s="8" t="s">
        <v>136</v>
      </c>
      <c r="B31" s="43" t="s">
        <v>150</v>
      </c>
      <c r="C31" s="11" t="s">
        <v>41</v>
      </c>
    </row>
    <row r="32" spans="1:5" x14ac:dyDescent="0.25">
      <c r="A32" s="8" t="s">
        <v>139</v>
      </c>
      <c r="B32" s="43" t="s">
        <v>153</v>
      </c>
      <c r="C32" s="50" t="s">
        <v>159</v>
      </c>
    </row>
    <row r="33" spans="1:3" x14ac:dyDescent="0.25">
      <c r="A33" s="8" t="s">
        <v>130</v>
      </c>
      <c r="B33" s="43" t="s">
        <v>151</v>
      </c>
      <c r="C33" s="50" t="s">
        <v>157</v>
      </c>
    </row>
    <row r="34" spans="1:3" ht="16.2" x14ac:dyDescent="0.25">
      <c r="A34" s="8" t="s">
        <v>131</v>
      </c>
      <c r="B34" s="43" t="s">
        <v>152</v>
      </c>
      <c r="C34" s="50" t="s">
        <v>157</v>
      </c>
    </row>
    <row r="35" spans="1:3" ht="16.2" x14ac:dyDescent="0.25">
      <c r="A35" s="8" t="s">
        <v>132</v>
      </c>
      <c r="B35" s="43" t="s">
        <v>154</v>
      </c>
      <c r="C35" s="50" t="s">
        <v>157</v>
      </c>
    </row>
    <row r="36" spans="1:3" x14ac:dyDescent="0.25">
      <c r="A36" s="8" t="s">
        <v>129</v>
      </c>
      <c r="B36" s="43" t="s">
        <v>155</v>
      </c>
      <c r="C36" s="50" t="s">
        <v>158</v>
      </c>
    </row>
    <row r="37" spans="1:3" x14ac:dyDescent="0.25">
      <c r="A37" s="8" t="s">
        <v>145</v>
      </c>
      <c r="B37" s="43" t="s">
        <v>156</v>
      </c>
      <c r="C37" s="50" t="s">
        <v>157</v>
      </c>
    </row>
    <row r="38" spans="1:3" x14ac:dyDescent="0.25">
      <c r="A38" s="31" t="s">
        <v>174</v>
      </c>
      <c r="B38" s="43" t="s">
        <v>175</v>
      </c>
      <c r="C38" s="50" t="s">
        <v>176</v>
      </c>
    </row>
    <row r="39" spans="1:3" ht="16.2" x14ac:dyDescent="0.25">
      <c r="A39" s="8" t="s">
        <v>185</v>
      </c>
      <c r="B39" s="43" t="s">
        <v>200</v>
      </c>
      <c r="C39" s="50" t="s">
        <v>26</v>
      </c>
    </row>
    <row r="40" spans="1:3" ht="14.4" thickBot="1" x14ac:dyDescent="0.3">
      <c r="A40" s="79" t="s">
        <v>186</v>
      </c>
      <c r="B40" s="49" t="s">
        <v>201</v>
      </c>
      <c r="C40" s="51" t="s">
        <v>157</v>
      </c>
    </row>
  </sheetData>
  <phoneticPr fontId="3" type="noConversion"/>
  <pageMargins left="0.75" right="0.75" top="1" bottom="1" header="0" footer="0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B0A6-DA2F-4E29-94AD-A95EF0E04911}">
  <sheetPr codeName="Hoja4">
    <pageSetUpPr fitToPage="1"/>
  </sheetPr>
  <dimension ref="A1:D12"/>
  <sheetViews>
    <sheetView showGridLines="0" workbookViewId="0">
      <selection activeCell="N3" sqref="N3"/>
    </sheetView>
  </sheetViews>
  <sheetFormatPr baseColWidth="10" defaultRowHeight="13.8" x14ac:dyDescent="0.25"/>
  <cols>
    <col min="1" max="1" width="4.8984375" customWidth="1"/>
    <col min="2" max="2" width="37.5" customWidth="1"/>
    <col min="3" max="3" width="9.09765625" style="17" customWidth="1"/>
    <col min="4" max="4" width="19.59765625" customWidth="1"/>
  </cols>
  <sheetData>
    <row r="1" spans="1:4" s="16" customFormat="1" ht="28.2" thickBot="1" x14ac:dyDescent="0.3">
      <c r="A1" s="27" t="s">
        <v>64</v>
      </c>
      <c r="B1" s="28" t="s">
        <v>63</v>
      </c>
      <c r="C1" s="28" t="s">
        <v>65</v>
      </c>
      <c r="D1" s="29" t="s">
        <v>81</v>
      </c>
    </row>
    <row r="2" spans="1:4" s="1" customFormat="1" ht="45" customHeight="1" x14ac:dyDescent="0.25">
      <c r="A2" s="30">
        <v>1</v>
      </c>
      <c r="B2" s="24" t="s">
        <v>59</v>
      </c>
      <c r="C2" s="25"/>
      <c r="D2" s="26"/>
    </row>
    <row r="3" spans="1:4" s="1" customFormat="1" ht="45" customHeight="1" x14ac:dyDescent="0.25">
      <c r="A3" s="31">
        <f>A2+1</f>
        <v>2</v>
      </c>
      <c r="B3" s="18" t="s">
        <v>66</v>
      </c>
      <c r="C3" s="19" t="s">
        <v>69</v>
      </c>
      <c r="D3" s="20"/>
    </row>
    <row r="4" spans="1:4" s="1" customFormat="1" ht="45" customHeight="1" x14ac:dyDescent="0.25">
      <c r="A4" s="31">
        <f t="shared" ref="A4:A12" si="0">A3+1</f>
        <v>3</v>
      </c>
      <c r="B4" s="18" t="s">
        <v>67</v>
      </c>
      <c r="C4" s="19" t="s">
        <v>68</v>
      </c>
      <c r="D4" s="20"/>
    </row>
    <row r="5" spans="1:4" s="1" customFormat="1" ht="45" customHeight="1" x14ac:dyDescent="0.25">
      <c r="A5" s="31">
        <f t="shared" si="0"/>
        <v>4</v>
      </c>
      <c r="B5" s="18" t="s">
        <v>70</v>
      </c>
      <c r="C5" s="19" t="s">
        <v>71</v>
      </c>
      <c r="D5" s="20"/>
    </row>
    <row r="6" spans="1:4" s="1" customFormat="1" ht="45" customHeight="1" x14ac:dyDescent="0.25">
      <c r="A6" s="31">
        <f t="shared" si="0"/>
        <v>5</v>
      </c>
      <c r="B6" s="18" t="s">
        <v>72</v>
      </c>
      <c r="C6" s="19" t="s">
        <v>73</v>
      </c>
      <c r="D6" s="20"/>
    </row>
    <row r="7" spans="1:4" s="1" customFormat="1" ht="45" customHeight="1" x14ac:dyDescent="0.25">
      <c r="A7" s="31">
        <f t="shared" si="0"/>
        <v>6</v>
      </c>
      <c r="B7" s="18" t="s">
        <v>76</v>
      </c>
      <c r="C7" s="19" t="s">
        <v>77</v>
      </c>
      <c r="D7" s="20"/>
    </row>
    <row r="8" spans="1:4" s="1" customFormat="1" ht="45" customHeight="1" x14ac:dyDescent="0.25">
      <c r="A8" s="31">
        <f t="shared" si="0"/>
        <v>7</v>
      </c>
      <c r="B8" s="18" t="s">
        <v>74</v>
      </c>
      <c r="C8" s="19" t="s">
        <v>75</v>
      </c>
      <c r="D8" s="20"/>
    </row>
    <row r="9" spans="1:4" s="1" customFormat="1" ht="45" customHeight="1" x14ac:dyDescent="0.25">
      <c r="A9" s="31">
        <f t="shared" si="0"/>
        <v>8</v>
      </c>
      <c r="B9" s="18" t="s">
        <v>60</v>
      </c>
      <c r="C9" s="19"/>
      <c r="D9" s="20"/>
    </row>
    <row r="10" spans="1:4" s="1" customFormat="1" ht="45" customHeight="1" x14ac:dyDescent="0.25">
      <c r="A10" s="31">
        <f t="shared" si="0"/>
        <v>9</v>
      </c>
      <c r="B10" s="18" t="s">
        <v>79</v>
      </c>
      <c r="C10" s="19" t="s">
        <v>78</v>
      </c>
      <c r="D10" s="20"/>
    </row>
    <row r="11" spans="1:4" s="1" customFormat="1" ht="45" customHeight="1" x14ac:dyDescent="0.25">
      <c r="A11" s="31">
        <f t="shared" si="0"/>
        <v>10</v>
      </c>
      <c r="B11" s="18" t="s">
        <v>61</v>
      </c>
      <c r="C11" s="19" t="s">
        <v>78</v>
      </c>
      <c r="D11" s="20"/>
    </row>
    <row r="12" spans="1:4" s="1" customFormat="1" ht="45" customHeight="1" thickBot="1" x14ac:dyDescent="0.3">
      <c r="A12" s="32">
        <f t="shared" si="0"/>
        <v>11</v>
      </c>
      <c r="B12" s="21" t="s">
        <v>62</v>
      </c>
      <c r="C12" s="22" t="s">
        <v>80</v>
      </c>
      <c r="D12" s="23"/>
    </row>
  </sheetData>
  <phoneticPr fontId="3" type="noConversion"/>
  <printOptions horizontalCentered="1" verticalCentered="1"/>
  <pageMargins left="0.78740157480314965" right="0.78740157480314965" top="0.98425196850393704" bottom="0.98425196850393704" header="0" footer="0"/>
  <pageSetup paperSize="9" orientation="portrait" horizontalDpi="0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>
              <from>
                <xdr:col>3</xdr:col>
                <xdr:colOff>342900</xdr:colOff>
                <xdr:row>1</xdr:row>
                <xdr:rowOff>76200</xdr:rowOff>
              </from>
              <to>
                <xdr:col>3</xdr:col>
                <xdr:colOff>868680</xdr:colOff>
                <xdr:row>1</xdr:row>
                <xdr:rowOff>373380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7">
            <anchor moveWithCells="1">
              <from>
                <xdr:col>3</xdr:col>
                <xdr:colOff>83820</xdr:colOff>
                <xdr:row>2</xdr:row>
                <xdr:rowOff>76200</xdr:rowOff>
              </from>
              <to>
                <xdr:col>3</xdr:col>
                <xdr:colOff>1112520</xdr:colOff>
                <xdr:row>2</xdr:row>
                <xdr:rowOff>388620</xdr:rowOff>
              </to>
            </anchor>
          </objectPr>
        </oleObject>
      </mc:Choice>
      <mc:Fallback>
        <oleObject progId="Equation.3" shapeId="1026" r:id="rId6"/>
      </mc:Fallback>
    </mc:AlternateContent>
    <mc:AlternateContent xmlns:mc="http://schemas.openxmlformats.org/markup-compatibility/2006">
      <mc:Choice Requires="x14">
        <oleObject progId="Equation.3" shapeId="1027" r:id="rId8">
          <objectPr defaultSize="0" autoPict="0" r:id="rId9">
            <anchor moveWithCells="1">
              <from>
                <xdr:col>3</xdr:col>
                <xdr:colOff>152400</xdr:colOff>
                <xdr:row>3</xdr:row>
                <xdr:rowOff>91440</xdr:rowOff>
              </from>
              <to>
                <xdr:col>3</xdr:col>
                <xdr:colOff>1005840</xdr:colOff>
                <xdr:row>3</xdr:row>
                <xdr:rowOff>396240</xdr:rowOff>
              </to>
            </anchor>
          </objectPr>
        </oleObject>
      </mc:Choice>
      <mc:Fallback>
        <oleObject progId="Equation.3" shapeId="1027" r:id="rId8"/>
      </mc:Fallback>
    </mc:AlternateContent>
    <mc:AlternateContent xmlns:mc="http://schemas.openxmlformats.org/markup-compatibility/2006">
      <mc:Choice Requires="x14">
        <oleObject progId="Equation.3" shapeId="1028" r:id="rId10">
          <objectPr defaultSize="0" autoPict="0" r:id="rId11">
            <anchor moveWithCells="1">
              <from>
                <xdr:col>3</xdr:col>
                <xdr:colOff>297180</xdr:colOff>
                <xdr:row>4</xdr:row>
                <xdr:rowOff>144780</xdr:rowOff>
              </from>
              <to>
                <xdr:col>3</xdr:col>
                <xdr:colOff>914400</xdr:colOff>
                <xdr:row>4</xdr:row>
                <xdr:rowOff>320040</xdr:rowOff>
              </to>
            </anchor>
          </objectPr>
        </oleObject>
      </mc:Choice>
      <mc:Fallback>
        <oleObject progId="Equation.3" shapeId="1028" r:id="rId10"/>
      </mc:Fallback>
    </mc:AlternateContent>
    <mc:AlternateContent xmlns:mc="http://schemas.openxmlformats.org/markup-compatibility/2006">
      <mc:Choice Requires="x14">
        <oleObject progId="Equation.3" shapeId="1029" r:id="rId12">
          <objectPr defaultSize="0" autoPict="0" r:id="rId13">
            <anchor moveWithCells="1">
              <from>
                <xdr:col>3</xdr:col>
                <xdr:colOff>182880</xdr:colOff>
                <xdr:row>5</xdr:row>
                <xdr:rowOff>83820</xdr:rowOff>
              </from>
              <to>
                <xdr:col>3</xdr:col>
                <xdr:colOff>1013460</xdr:colOff>
                <xdr:row>5</xdr:row>
                <xdr:rowOff>388620</xdr:rowOff>
              </to>
            </anchor>
          </objectPr>
        </oleObject>
      </mc:Choice>
      <mc:Fallback>
        <oleObject progId="Equation.3" shapeId="1029" r:id="rId12"/>
      </mc:Fallback>
    </mc:AlternateContent>
    <mc:AlternateContent xmlns:mc="http://schemas.openxmlformats.org/markup-compatibility/2006">
      <mc:Choice Requires="x14">
        <oleObject progId="Equation.3" shapeId="1030" r:id="rId14">
          <objectPr defaultSize="0" autoPict="0" r:id="rId15">
            <anchor moveWithCells="1">
              <from>
                <xdr:col>3</xdr:col>
                <xdr:colOff>312420</xdr:colOff>
                <xdr:row>6</xdr:row>
                <xdr:rowOff>91440</xdr:rowOff>
              </from>
              <to>
                <xdr:col>3</xdr:col>
                <xdr:colOff>883920</xdr:colOff>
                <xdr:row>6</xdr:row>
                <xdr:rowOff>388620</xdr:rowOff>
              </to>
            </anchor>
          </objectPr>
        </oleObject>
      </mc:Choice>
      <mc:Fallback>
        <oleObject progId="Equation.3" shapeId="1030" r:id="rId14"/>
      </mc:Fallback>
    </mc:AlternateContent>
    <mc:AlternateContent xmlns:mc="http://schemas.openxmlformats.org/markup-compatibility/2006">
      <mc:Choice Requires="x14">
        <oleObject progId="Equation.3" shapeId="1031" r:id="rId16">
          <objectPr defaultSize="0" autoPict="0" r:id="rId17">
            <anchor moveWithCells="1">
              <from>
                <xdr:col>3</xdr:col>
                <xdr:colOff>312420</xdr:colOff>
                <xdr:row>7</xdr:row>
                <xdr:rowOff>68580</xdr:rowOff>
              </from>
              <to>
                <xdr:col>3</xdr:col>
                <xdr:colOff>929640</xdr:colOff>
                <xdr:row>7</xdr:row>
                <xdr:rowOff>396240</xdr:rowOff>
              </to>
            </anchor>
          </objectPr>
        </oleObject>
      </mc:Choice>
      <mc:Fallback>
        <oleObject progId="Equation.3" shapeId="1031" r:id="rId16"/>
      </mc:Fallback>
    </mc:AlternateContent>
    <mc:AlternateContent xmlns:mc="http://schemas.openxmlformats.org/markup-compatibility/2006">
      <mc:Choice Requires="x14">
        <oleObject progId="Equation.3" shapeId="1032" r:id="rId18">
          <objectPr defaultSize="0" autoPict="0" r:id="rId19">
            <anchor moveWithCells="1">
              <from>
                <xdr:col>3</xdr:col>
                <xdr:colOff>144780</xdr:colOff>
                <xdr:row>8</xdr:row>
                <xdr:rowOff>38100</xdr:rowOff>
              </from>
              <to>
                <xdr:col>3</xdr:col>
                <xdr:colOff>1089660</xdr:colOff>
                <xdr:row>8</xdr:row>
                <xdr:rowOff>388620</xdr:rowOff>
              </to>
            </anchor>
          </objectPr>
        </oleObject>
      </mc:Choice>
      <mc:Fallback>
        <oleObject progId="Equation.3" shapeId="1032" r:id="rId18"/>
      </mc:Fallback>
    </mc:AlternateContent>
    <mc:AlternateContent xmlns:mc="http://schemas.openxmlformats.org/markup-compatibility/2006">
      <mc:Choice Requires="x14">
        <oleObject progId="Equation.3" shapeId="1033" r:id="rId20">
          <objectPr defaultSize="0" autoPict="0" r:id="rId21">
            <anchor moveWithCells="1">
              <from>
                <xdr:col>3</xdr:col>
                <xdr:colOff>320040</xdr:colOff>
                <xdr:row>9</xdr:row>
                <xdr:rowOff>144780</xdr:rowOff>
              </from>
              <to>
                <xdr:col>3</xdr:col>
                <xdr:colOff>891540</xdr:colOff>
                <xdr:row>9</xdr:row>
                <xdr:rowOff>320040</xdr:rowOff>
              </to>
            </anchor>
          </objectPr>
        </oleObject>
      </mc:Choice>
      <mc:Fallback>
        <oleObject progId="Equation.3" shapeId="1033" r:id="rId20"/>
      </mc:Fallback>
    </mc:AlternateContent>
    <mc:AlternateContent xmlns:mc="http://schemas.openxmlformats.org/markup-compatibility/2006">
      <mc:Choice Requires="x14">
        <oleObject progId="Equation.3" shapeId="1034" r:id="rId22">
          <objectPr defaultSize="0" autoPict="0" r:id="rId23">
            <anchor moveWithCells="1">
              <from>
                <xdr:col>3</xdr:col>
                <xdr:colOff>259080</xdr:colOff>
                <xdr:row>10</xdr:row>
                <xdr:rowOff>160020</xdr:rowOff>
              </from>
              <to>
                <xdr:col>3</xdr:col>
                <xdr:colOff>975360</xdr:colOff>
                <xdr:row>10</xdr:row>
                <xdr:rowOff>312420</xdr:rowOff>
              </to>
            </anchor>
          </objectPr>
        </oleObject>
      </mc:Choice>
      <mc:Fallback>
        <oleObject progId="Equation.3" shapeId="1034" r:id="rId22"/>
      </mc:Fallback>
    </mc:AlternateContent>
    <mc:AlternateContent xmlns:mc="http://schemas.openxmlformats.org/markup-compatibility/2006">
      <mc:Choice Requires="x14">
        <oleObject progId="Equation.3" shapeId="1035" r:id="rId24">
          <objectPr defaultSize="0" autoPict="0" r:id="rId25">
            <anchor moveWithCells="1">
              <from>
                <xdr:col>3</xdr:col>
                <xdr:colOff>388620</xdr:colOff>
                <xdr:row>11</xdr:row>
                <xdr:rowOff>144780</xdr:rowOff>
              </from>
              <to>
                <xdr:col>3</xdr:col>
                <xdr:colOff>822960</xdr:colOff>
                <xdr:row>11</xdr:row>
                <xdr:rowOff>297180</xdr:rowOff>
              </to>
            </anchor>
          </objectPr>
        </oleObject>
      </mc:Choice>
      <mc:Fallback>
        <oleObject progId="Equation.3" shapeId="1035" r:id="rId2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RegistroEnsayo</vt:lpstr>
      <vt:lpstr>Simbología IRAM-AITA 3.1</vt:lpstr>
      <vt:lpstr>Fórmulas IRAM-AITA 3.1</vt:lpstr>
      <vt:lpstr>Gráfico IRAM-AITA 3.1</vt:lpstr>
      <vt:lpstr>'Fórmulas IRAM-AITA 3.1'!Área_de_impresión</vt:lpstr>
      <vt:lpstr>RegistroEnsayo!Área_de_impresión</vt:lpstr>
    </vt:vector>
  </TitlesOfParts>
  <Company>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Ensayo de Motores</dc:title>
  <dc:subject>Planilla ensayo</dc:subject>
  <dc:creator>Prof. Ing. Gerhard E. RAITH</dc:creator>
  <cp:keywords>Par Potencia Motor consumo específico</cp:keywords>
  <dc:description>© Gerhard Eduardo RAITH, mayo 2008
© Gerhard Eduardo RAITH,actualización y modificaciones, junio 2015.
Para citar esta planilla de ensayos: "Gerhard E. RAITH, Modelo Registro de Ensayos de Motores, junio 2008"</dc:description>
  <cp:lastModifiedBy>Prof. Ing. Gerhard E. RAITH</cp:lastModifiedBy>
  <cp:lastPrinted>2008-07-28T04:14:49Z</cp:lastPrinted>
  <dcterms:created xsi:type="dcterms:W3CDTF">2008-07-26T16:40:36Z</dcterms:created>
  <dcterms:modified xsi:type="dcterms:W3CDTF">2025-07-15T17:19:30Z</dcterms:modified>
</cp:coreProperties>
</file>